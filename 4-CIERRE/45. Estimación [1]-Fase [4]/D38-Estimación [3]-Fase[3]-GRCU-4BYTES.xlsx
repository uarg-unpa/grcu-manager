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REPOSITORIOS\grcu-manager\3-CONSTRUCCION\ITERACIÓN 3\38. Estimación [3]-Fase [3]\"/>
    </mc:Choice>
  </mc:AlternateContent>
  <xr:revisionPtr revIDLastSave="0" documentId="13_ncr:1_{51763F4F-5520-446A-8E10-656AEFDCB7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o Probable" sheetId="1" r:id="rId1"/>
    <sheet name="Peor Caso" sheetId="2" r:id="rId2"/>
    <sheet name="Mejor Caso" sheetId="3" r:id="rId3"/>
  </sheets>
  <definedNames>
    <definedName name="solver_eng" localSheetId="0">1</definedName>
    <definedName name="solver_eng" localSheetId="1">1</definedName>
    <definedName name="solver_neg" localSheetId="0">1</definedName>
    <definedName name="solver_neg" localSheetId="1">1</definedName>
    <definedName name="solver_num" localSheetId="0">0</definedName>
    <definedName name="solver_num" localSheetId="1">0</definedName>
    <definedName name="solver_opt" localSheetId="0">'Caso Probable'!$D$66</definedName>
    <definedName name="solver_opt" localSheetId="2">'Mejor Caso'!$D$66</definedName>
    <definedName name="solver_opt" localSheetId="1">'Peor Caso'!$D$66</definedName>
    <definedName name="solver_typ" localSheetId="0">1</definedName>
    <definedName name="solver_typ" localSheetId="1">1</definedName>
    <definedName name="solver_val" localSheetId="0">0</definedName>
    <definedName name="solver_val" localSheetId="1">0</definedName>
    <definedName name="solver_ver" localSheetId="0">3</definedName>
    <definedName name="solver_ver" localSheetId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G1GzarPVYEuXjww6p5IXw5gA0QCrNr3t44KxhwSBl5k="/>
    </ext>
  </extLst>
</workbook>
</file>

<file path=xl/calcChain.xml><?xml version="1.0" encoding="utf-8"?>
<calcChain xmlns="http://schemas.openxmlformats.org/spreadsheetml/2006/main">
  <c r="C75" i="3" l="1"/>
  <c r="G59" i="3"/>
  <c r="D66" i="3" s="1"/>
  <c r="G56" i="3"/>
  <c r="G55" i="3"/>
  <c r="G54" i="3"/>
  <c r="G53" i="3"/>
  <c r="G52" i="3"/>
  <c r="G51" i="3"/>
  <c r="G50" i="3"/>
  <c r="G49" i="3"/>
  <c r="G57" i="3" s="1"/>
  <c r="G58" i="3" s="1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F19" i="3"/>
  <c r="E19" i="3"/>
  <c r="F18" i="3"/>
  <c r="E18" i="3"/>
  <c r="F17" i="3"/>
  <c r="E17" i="3"/>
  <c r="E12" i="3"/>
  <c r="G12" i="3" s="1"/>
  <c r="E11" i="3"/>
  <c r="G11" i="3" s="1"/>
  <c r="E10" i="3"/>
  <c r="G10" i="3" s="1"/>
  <c r="E9" i="3"/>
  <c r="G9" i="3" s="1"/>
  <c r="E8" i="3"/>
  <c r="G8" i="3" s="1"/>
  <c r="C75" i="2"/>
  <c r="C76" i="2" s="1"/>
  <c r="G59" i="2"/>
  <c r="D66" i="2" s="1"/>
  <c r="G56" i="2"/>
  <c r="G55" i="2"/>
  <c r="G54" i="2"/>
  <c r="G53" i="2"/>
  <c r="G52" i="2"/>
  <c r="G51" i="2"/>
  <c r="G50" i="2"/>
  <c r="G49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F19" i="2"/>
  <c r="E19" i="2"/>
  <c r="F18" i="2"/>
  <c r="E18" i="2"/>
  <c r="F17" i="2"/>
  <c r="E17" i="2"/>
  <c r="E12" i="2"/>
  <c r="G12" i="2" s="1"/>
  <c r="E11" i="2"/>
  <c r="G11" i="2" s="1"/>
  <c r="E10" i="2"/>
  <c r="G10" i="2" s="1"/>
  <c r="E9" i="2"/>
  <c r="G9" i="2" s="1"/>
  <c r="E8" i="2"/>
  <c r="G8" i="2" s="1"/>
  <c r="C75" i="1"/>
  <c r="G59" i="1"/>
  <c r="D66" i="1" s="1"/>
  <c r="G56" i="1"/>
  <c r="G55" i="1"/>
  <c r="G54" i="1"/>
  <c r="G53" i="1"/>
  <c r="G52" i="1"/>
  <c r="G51" i="1"/>
  <c r="G50" i="1"/>
  <c r="G49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F19" i="1"/>
  <c r="E19" i="1"/>
  <c r="F18" i="1"/>
  <c r="E18" i="1"/>
  <c r="F17" i="1"/>
  <c r="F20" i="1" s="1"/>
  <c r="E17" i="1"/>
  <c r="E12" i="1"/>
  <c r="G12" i="1" s="1"/>
  <c r="E11" i="1"/>
  <c r="G11" i="1" s="1"/>
  <c r="E10" i="1"/>
  <c r="G10" i="1" s="1"/>
  <c r="E9" i="1"/>
  <c r="G9" i="1" s="1"/>
  <c r="E8" i="1"/>
  <c r="G8" i="1" s="1"/>
  <c r="G13" i="3" l="1"/>
  <c r="F20" i="3"/>
  <c r="G44" i="3"/>
  <c r="G45" i="3" s="1"/>
  <c r="F24" i="3"/>
  <c r="G62" i="3" s="1"/>
  <c r="F20" i="2"/>
  <c r="G44" i="2"/>
  <c r="G45" i="2" s="1"/>
  <c r="G57" i="2"/>
  <c r="G58" i="2" s="1"/>
  <c r="G13" i="1"/>
  <c r="G44" i="1"/>
  <c r="G45" i="1" s="1"/>
  <c r="G57" i="1"/>
  <c r="G58" i="1" s="1"/>
  <c r="G13" i="2"/>
  <c r="F24" i="2" s="1"/>
  <c r="F24" i="1"/>
  <c r="G62" i="1" s="1"/>
  <c r="C66" i="1"/>
  <c r="C76" i="1"/>
  <c r="C66" i="2"/>
  <c r="C76" i="3"/>
  <c r="C66" i="3"/>
  <c r="G62" i="2" l="1"/>
  <c r="C68" i="3"/>
  <c r="C69" i="3" s="1"/>
  <c r="B68" i="3"/>
  <c r="B69" i="3" s="1"/>
  <c r="D68" i="3"/>
  <c r="D68" i="1"/>
  <c r="C68" i="1"/>
  <c r="C69" i="1" s="1"/>
  <c r="B68" i="1"/>
  <c r="B69" i="1" s="1"/>
  <c r="D68" i="2"/>
  <c r="C68" i="2"/>
  <c r="C69" i="2" s="1"/>
  <c r="B68" i="2"/>
  <c r="B69" i="2" s="1"/>
  <c r="E76" i="3"/>
  <c r="C81" i="3" s="1"/>
  <c r="C85" i="3" s="1"/>
  <c r="D74" i="2" l="1"/>
  <c r="D75" i="2"/>
  <c r="D76" i="2"/>
  <c r="B81" i="2" s="1"/>
  <c r="B85" i="2" s="1"/>
  <c r="D74" i="1"/>
  <c r="D75" i="1"/>
  <c r="D74" i="3"/>
  <c r="D75" i="3"/>
  <c r="G75" i="2"/>
  <c r="G74" i="2"/>
  <c r="D69" i="2"/>
  <c r="G74" i="3"/>
  <c r="D69" i="3"/>
  <c r="G75" i="3"/>
  <c r="E74" i="2"/>
  <c r="E75" i="2"/>
  <c r="E76" i="2"/>
  <c r="C81" i="2" s="1"/>
  <c r="C85" i="2" s="1"/>
  <c r="E74" i="1"/>
  <c r="E75" i="1"/>
  <c r="G75" i="1"/>
  <c r="G74" i="1"/>
  <c r="D69" i="1"/>
  <c r="E74" i="3"/>
  <c r="E75" i="3"/>
  <c r="D76" i="3"/>
  <c r="B81" i="3" s="1"/>
  <c r="B85" i="3" s="1"/>
  <c r="D76" i="1"/>
  <c r="B81" i="1" s="1"/>
  <c r="B85" i="1" s="1"/>
  <c r="E76" i="1"/>
  <c r="C81" i="1" s="1"/>
  <c r="C85" i="1" s="1"/>
  <c r="G76" i="3" l="1"/>
  <c r="G76" i="2"/>
  <c r="F74" i="2"/>
  <c r="F75" i="2"/>
  <c r="F76" i="2"/>
  <c r="D81" i="2" s="1"/>
  <c r="D85" i="2" s="1"/>
  <c r="F74" i="3"/>
  <c r="F75" i="3"/>
  <c r="F76" i="3"/>
  <c r="D81" i="3" s="1"/>
  <c r="D85" i="3" s="1"/>
  <c r="F74" i="1"/>
  <c r="F75" i="1"/>
  <c r="F76" i="1"/>
  <c r="D81" i="1" s="1"/>
  <c r="D85" i="1" s="1"/>
  <c r="G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7" authorId="0" shapeId="0" xr:uid="{00000000-0006-0000-0000-00000D000000}">
      <text>
        <r>
          <rPr>
            <sz val="10"/>
            <color rgb="FF000000"/>
            <rFont val="Arial"/>
            <scheme val="minor"/>
          </rPr>
          <t>======
ID#AAAA4EXGEYI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  </r>
      </text>
    </comment>
    <comment ref="C16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ID#AAAA4EXGEY0
Ejemplo    (2023-08-29 20:18:46)
contar transacciones
Flujo.Ppal.: transacciones 1, 2, 3, 4. 
Flujo Alt.: 0 transaccioines. 
Excepciones.: N/A -&gt; 0 transacciones
-&gt; suma = 4 transacciones</t>
        </r>
      </text>
    </comment>
    <comment ref="B31" authorId="0" shapeId="0" xr:uid="{00000000-0006-0000-0000-000017000000}">
      <text>
        <r>
          <rPr>
            <sz val="10"/>
            <color rgb="FF000000"/>
            <rFont val="Arial"/>
            <scheme val="minor"/>
          </rPr>
          <t>======
ID#AAAA4EXGEXg
Autor    (2023-08-29 20:18:46)
¿Arquitectura centralizada o distribuida?</t>
        </r>
      </text>
    </comment>
    <comment ref="B32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ID#AAAA4EXGEYo
Autor    (2023-08-29 20:18:46)
¿Cuál es la importancia del tiempo de respuesta de la aplicación para el usuario final?</t>
        </r>
      </text>
    </comment>
    <comment ref="B33" authorId="0" shapeId="0" xr:uid="{00000000-0006-0000-0000-000011000000}">
      <text>
        <r>
          <rPr>
            <sz val="10"/>
            <color rgb="FF000000"/>
            <rFont val="Arial"/>
            <scheme val="minor"/>
          </rPr>
          <t>======
ID#AAAA4EXGEX4
Autor    (2023-08-29 20:18:46)
¿La aplicacion está diseñada para que el usuario incremente SU eficiencia (no solo cumpla su cometido)?</t>
        </r>
      </text>
    </comment>
    <comment ref="B34" authorId="0" shapeId="0" xr:uid="{00000000-0006-0000-0000-00001B000000}">
      <text>
        <r>
          <rPr>
            <sz val="10"/>
            <color rgb="FF000000"/>
            <rFont val="Arial"/>
            <scheme val="minor"/>
          </rPr>
          <t>======
ID#AAAA4EXGEXQ
Autor    (2023-08-29 20:18:46)
¿La aplicación requiere de algoritmos complejos?</t>
        </r>
      </text>
    </comment>
    <comment ref="B35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ID#AAAA4EXGEYQ
Autor    (2023-08-29 20:18:46)
¿La aplicación requiere diseñarse para ser altamente reusable?</t>
        </r>
      </text>
    </comment>
    <comment ref="B36" authorId="0" shapeId="0" xr:uid="{00000000-0006-0000-0000-00001A000000}">
      <text>
        <r>
          <rPr>
            <sz val="10"/>
            <color rgb="FF000000"/>
            <rFont val="Arial"/>
            <scheme val="minor"/>
          </rPr>
          <t>======
ID#AAAA4EXGEXU
Autor    (2023-08-29 20:18:46)
¿La aplicación debe ser de fácil instalación (para usuarios sin capacidad técnica) o no?</t>
        </r>
      </text>
    </comment>
    <comment ref="B37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ID#AAAA4EXGEYY
Autor    (2023-08-29 20:18:46)
¿Hay requerimientos especiales respecto de la facilidad de uso?</t>
        </r>
      </text>
    </comment>
    <comment ref="B3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ID#AAAA4EXGEYw
Autor    (2023-08-29 20:18:46)
¿La aplicación, debe funcionar en más de una plataforma?</t>
        </r>
      </text>
    </comment>
    <comment ref="B39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ID#AAAA4EXGEYg
Autor    (2023-08-29 20:18:46)
¿El cliente requiere que la aplicación se pueda cambiar fácilmente en el futuro?</t>
        </r>
      </text>
    </comment>
    <comment ref="B40" authorId="0" shapeId="0" xr:uid="{00000000-0006-0000-0000-000018000000}">
      <text>
        <r>
          <rPr>
            <sz val="10"/>
            <color rgb="FF000000"/>
            <rFont val="Arial"/>
            <scheme val="minor"/>
          </rPr>
          <t>======
ID#AAAA4EXGEXc
Autor    (2023-08-29 20:18:46)
¿Hace falta consideraciones especiales para el acceso concurrente (paralelo) a datos y otros recursos?</t>
        </r>
      </text>
    </comment>
    <comment ref="B41" authorId="0" shapeId="0" xr:uid="{00000000-0006-0000-0000-000014000000}">
      <text>
        <r>
          <rPr>
            <sz val="10"/>
            <color rgb="FF000000"/>
            <rFont val="Arial"/>
            <scheme val="minor"/>
          </rPr>
          <t>======
ID#AAAA4EXGEXs
Autor    (2023-08-29 20:18:46)
¿Es suficiente con las prestaciones de seguridad normales, o hace falta algo especial?</t>
        </r>
      </text>
    </comment>
    <comment ref="B42" authorId="0" shapeId="0" xr:uid="{00000000-0006-0000-0000-000016000000}">
      <text>
        <r>
          <rPr>
            <sz val="10"/>
            <color rgb="FF000000"/>
            <rFont val="Arial"/>
            <scheme val="minor"/>
          </rPr>
          <t>======
ID#AAAA4EXGEXk
Autor    (2023-08-29 20:18:46)
¿Nuestro código usará componentes COTS, librerías frameworks ya desarrollados? Si así fuera, reducirá la carga de trabajo de desarrollo.</t>
        </r>
      </text>
    </comment>
    <comment ref="B43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ID#AAAA4EXGEYs
Autor    (2023-08-29 20:18:46)
¿Se requiere formación específica para los Usuarios?</t>
        </r>
      </text>
    </comment>
    <comment ref="B49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ID#AAAA4EXGEYU
Autor    (2023-08-29 20:18:46)
Debe reflejar el hecho de que el equipo conoce el proceso y el lenguaje de modelado (p.ej.: RUP, UML). Puede ser cualquier otro proceso.</t>
        </r>
      </text>
    </comment>
    <comment ref="B50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ID#AAAA4EXGEX8
Autor    (2023-08-29 20:18:46)
¿Ya trabajado el equipo en el area (dominio) de la aplicación?</t>
        </r>
      </text>
    </comment>
    <comment ref="B51" authorId="0" shapeId="0" xr:uid="{00000000-0006-0000-0000-000012000000}">
      <text>
        <r>
          <rPr>
            <sz val="10"/>
            <color rgb="FF000000"/>
            <rFont val="Arial"/>
            <scheme val="minor"/>
          </rPr>
          <t>======
ID#AAAA4EXGEXw
Autor    (2023-08-29 20:18:46)
Se refiere exclusivamente a la experiencia en el análisis, modelado, diseño y progrmación  mediante el paradigma de OO.</t>
        </r>
      </text>
    </comment>
    <comment ref="B52" authorId="0" shapeId="0" xr:uid="{00000000-0006-0000-0000-000019000000}">
      <text>
        <r>
          <rPr>
            <sz val="10"/>
            <color rgb="FF000000"/>
            <rFont val="Arial"/>
            <scheme val="minor"/>
          </rPr>
          <t>======
ID#AAAA4EXGEXY
Autor    (2023-08-29 20:18:46)
Se refiere a la experiencia en el análisis de requerimientos y modelado orientado a objetos del Analista Principal.</t>
        </r>
      </text>
    </comment>
    <comment ref="B53" authorId="0" shapeId="0" xr:uid="{00000000-0006-0000-0000-000015000000}">
      <text>
        <r>
          <rPr>
            <sz val="10"/>
            <color rgb="FF000000"/>
            <rFont val="Arial"/>
            <scheme val="minor"/>
          </rPr>
          <t>======
ID#AAAA4EXGEXo
Autor    (2023-08-29 20:18:46)
Motivación del equipo.</t>
        </r>
      </text>
    </comment>
    <comment ref="B54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ID#AAAA4EXGEY4
Autor    (2023-08-29 20:18:46)
Evalúa si los analistas han sido capaces de mantener estables los requerimientos en el pasado, minimizando los cambios del software.</t>
        </r>
      </text>
    </comment>
    <comment ref="B55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ID#AAAA4EXGEYM
Autor    (2023-08-29 20:18:46)
Este es un factor con signo opuesto a los factores E6 y anteriores. Cuanto mayor la evaluación, peor el resultado.</t>
        </r>
      </text>
    </comment>
    <comment ref="B56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ID#AAAA4EXGEYc
Autor    (2023-08-29 20:18:46)
Este es un factor con signo opuesto a los factores E6 y anteriores. Cuanto mayor la evaluación, peor el resultado.</t>
        </r>
      </text>
    </comment>
    <comment ref="G66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ID#AAAA4EXGEYA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  </r>
      </text>
    </comment>
    <comment ref="B72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ID#AAAA4EXGEYE
Autor    (2023-08-29 20:18:46)
Esta distribución es una referencia. Proyecto a proyecto debe actualizarse mediante  ESTADISTICAS.</t>
        </r>
      </text>
    </comment>
    <comment ref="B75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ID#AAAA4EXGEYk
Autor    (2023-08-29 20:18:46)
Análisis/Diseño/Pruebas/Sobrecarga</t>
        </r>
      </text>
    </comment>
    <comment ref="B78" authorId="0" shapeId="0" xr:uid="{00000000-0006-0000-0000-000013000000}">
      <text>
        <r>
          <rPr>
            <sz val="10"/>
            <color rgb="FF000000"/>
            <rFont val="Arial"/>
            <scheme val="minor"/>
          </rPr>
          <t>======
ID#AAAA4EXGEX0
Autor    (2023-08-29 20:18:46)
Lo debe sugerir el estimador.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nR2fcGCUotevhcokOeDvo+zhlgw=="/>
    </ext>
  </extLst>
</comments>
</file>

<file path=xl/sharedStrings.xml><?xml version="1.0" encoding="utf-8"?>
<sst xmlns="http://schemas.openxmlformats.org/spreadsheetml/2006/main" count="483" uniqueCount="126">
  <si>
    <t>ESTIMACIÓN por PUNTOS de CASO de USO</t>
  </si>
  <si>
    <t>Proyecto:</t>
  </si>
  <si>
    <t>GRCU Manager</t>
  </si>
  <si>
    <t>Gestor de Proyecto:</t>
  </si>
  <si>
    <t>4BYTES</t>
  </si>
  <si>
    <t>1. PESO DE LOS ACTORES</t>
  </si>
  <si>
    <t>Actor</t>
  </si>
  <si>
    <t>Factor de Peso Actores</t>
  </si>
  <si>
    <t>Descripción</t>
  </si>
  <si>
    <t>Peso</t>
  </si>
  <si>
    <t>Número actores</t>
  </si>
  <si>
    <t>Valor ponderado</t>
  </si>
  <si>
    <t>Docente Administrador</t>
  </si>
  <si>
    <t>Complejo</t>
  </si>
  <si>
    <t>Encargado de la gestión de usuarios y creación de proyectos</t>
  </si>
  <si>
    <t>Desarrollador</t>
  </si>
  <si>
    <t>Encargado de la gestión de requerimientos y casos de usos</t>
  </si>
  <si>
    <t>Lider de proyecto</t>
  </si>
  <si>
    <t>Intermedio</t>
  </si>
  <si>
    <t>Integrante designado para coordinar el equipo. Define metodología, valida requerimientos, prioriza y consolida informes.</t>
  </si>
  <si>
    <t>Visitante</t>
  </si>
  <si>
    <t>Simple</t>
  </si>
  <si>
    <t xml:space="preserve">Navega por el sistema y solicita reportes </t>
  </si>
  <si>
    <t>Cliente</t>
  </si>
  <si>
    <t>Navega en el sistema, permitiéndole adjuntar documentos o archivos externos y  validar los requerimientos</t>
  </si>
  <si>
    <t xml:space="preserve">Peso Total Actores, sin ajustar (UAW) </t>
  </si>
  <si>
    <t xml:space="preserve">
</t>
  </si>
  <si>
    <t>2. PESO DE LOS CU</t>
  </si>
  <si>
    <t>Casos de Uso</t>
  </si>
  <si>
    <t>Comentario</t>
  </si>
  <si>
    <t>Número de transacciones</t>
  </si>
  <si>
    <t>Complejidad</t>
  </si>
  <si>
    <t>1 Pantalla, 1 extensión, 1 BD</t>
  </si>
  <si>
    <t>CU13: Comentar requerimiento</t>
  </si>
  <si>
    <t>1 Pantalla, 2 extensión, 1 BD</t>
  </si>
  <si>
    <t>CU14: Adjuntar archivo al comentario</t>
  </si>
  <si>
    <t>1 Pantalla, 3 extensión, 1 BD</t>
  </si>
  <si>
    <t>CU16: Generar Informe</t>
  </si>
  <si>
    <t xml:space="preserve">Peso Total CU, sin ajustar (UUCW) </t>
  </si>
  <si>
    <t>3. PCU SIN AJUSTE</t>
  </si>
  <si>
    <r>
      <rPr>
        <b/>
        <sz val="12"/>
        <color theme="1"/>
        <rFont val="Calibri"/>
      </rPr>
      <t xml:space="preserve">Puntos de CU No Ajustados: </t>
    </r>
    <r>
      <rPr>
        <b/>
        <sz val="12"/>
        <color rgb="FFFF0000"/>
        <rFont val="Calibri"/>
      </rPr>
      <t>UUCP = UAW + UUCW</t>
    </r>
  </si>
  <si>
    <t>4. COMPLEJIDAD TECNICA</t>
  </si>
  <si>
    <t>Factores de Peso Técnicos</t>
  </si>
  <si>
    <t>Escala de asignación</t>
  </si>
  <si>
    <t>Características especiales</t>
  </si>
  <si>
    <t>Evaluación</t>
  </si>
  <si>
    <t>Impacto</t>
  </si>
  <si>
    <t>Ver 4.2 Use Case Point Analysis e11</t>
  </si>
  <si>
    <t>T1  Sistema Distribuido</t>
  </si>
  <si>
    <t>0=no importante  5=esencial</t>
  </si>
  <si>
    <t>¡Describir!</t>
  </si>
  <si>
    <t>2</t>
  </si>
  <si>
    <t>Object-Oriented Analysis and Design for Information Systems: Modeling with UML, OCL, and IFML</t>
  </si>
  <si>
    <t>T2  Objetivos de Desempeño o Tiempo de Respuesta</t>
  </si>
  <si>
    <t>T3  Eficiencia Usuario Final</t>
  </si>
  <si>
    <t>T4  Procesamiento Interno Complejo</t>
  </si>
  <si>
    <t>T5  Código Debe Ser Reusable</t>
  </si>
  <si>
    <t>T6  Facilidad de Instalación</t>
  </si>
  <si>
    <t>T7  Facilidad de Uso</t>
  </si>
  <si>
    <t>T8  Portabilidad</t>
  </si>
  <si>
    <t>T9  Facilidad de Cambio</t>
  </si>
  <si>
    <t>T10 Concurrencia</t>
  </si>
  <si>
    <t>T11 Incluye Características Especiales de Seguridad</t>
  </si>
  <si>
    <t>T12 Acceso Directo a Código de Terceros</t>
  </si>
  <si>
    <t>T13 Necesidades de formación para los Usuarios</t>
  </si>
  <si>
    <r>
      <rPr>
        <b/>
        <sz val="12"/>
        <color theme="1"/>
        <rFont val="Calibri"/>
      </rPr>
      <t xml:space="preserve">Factores Técnicos: TF = </t>
    </r>
    <r>
      <rPr>
        <b/>
        <sz val="12"/>
        <color theme="1"/>
        <rFont val="Calibri"/>
      </rPr>
      <t xml:space="preserve">∑ </t>
    </r>
    <r>
      <rPr>
        <b/>
        <sz val="12"/>
        <color theme="1"/>
        <rFont val="Calibri"/>
      </rPr>
      <t xml:space="preserve">(Peso * Evaluacion ) </t>
    </r>
  </si>
  <si>
    <r>
      <rPr>
        <b/>
        <sz val="12"/>
        <color theme="1"/>
        <rFont val="Calibri"/>
      </rPr>
      <t xml:space="preserve">Factor de Complejidad Técnica:  </t>
    </r>
    <r>
      <rPr>
        <b/>
        <sz val="12"/>
        <color rgb="FFFF0000"/>
        <rFont val="Calibri"/>
      </rPr>
      <t xml:space="preserve">TCF = 0,06 + 0,01*TC </t>
    </r>
  </si>
  <si>
    <t>5. FACTORES DEL ENTORNO</t>
  </si>
  <si>
    <t>Factores de Peso Ambientales del Equipo</t>
  </si>
  <si>
    <t>Escala de 0 a 5</t>
  </si>
  <si>
    <t>Razón</t>
  </si>
  <si>
    <t>Ver 4.2 Use Case Point Analysis e17</t>
  </si>
  <si>
    <t>E1 Familiaridad con un Proceso Definido</t>
  </si>
  <si>
    <t>0 = sin experiencia, 3=media, 5=experto</t>
  </si>
  <si>
    <t>E2 Experiencia en el Dominio de Aplicación</t>
  </si>
  <si>
    <t>E3 Experiencia en Orientación a Objetos</t>
  </si>
  <si>
    <t>E4 Capacidad de Liderazgo del  Analista Principal</t>
  </si>
  <si>
    <t>E5 Motivación</t>
  </si>
  <si>
    <t>0=sin, 3=media, 5=alta</t>
  </si>
  <si>
    <t>E6 Requerimientos Estables</t>
  </si>
  <si>
    <t>0=extremadamente inestable, 5=no cambian</t>
  </si>
  <si>
    <t>E7 Miembros a Tiempo Parcial</t>
  </si>
  <si>
    <t>0=0% tiempo parcial, 1=h/10% t. parcial, 2=h/20% t. parcial, 3=h/40% t. parcial, 4=h/60% t. parcial, 5= más de 60% t. parcial</t>
  </si>
  <si>
    <t>E8 Dificultad con el lenguaje de Programación</t>
  </si>
  <si>
    <t>0=todos miembros muy experimentados. 1= Mayoría +2años experiencia. 2. Todos +18 meses experiencia 3. Mayoría +18 meses experiencia 4. Pocos hasta 1 año experiencia 5. Ninguno experiencia</t>
  </si>
  <si>
    <t xml:space="preserve">Factores Ambientales: EF = ∑ (Peso * Evaluacion ) </t>
  </si>
  <si>
    <r>
      <rPr>
        <b/>
        <sz val="12"/>
        <color theme="1"/>
        <rFont val="Calibri"/>
      </rPr>
      <t xml:space="preserve">Factor de Complejidad Ambiental: </t>
    </r>
    <r>
      <rPr>
        <b/>
        <sz val="12"/>
        <color rgb="FFFF0000"/>
        <rFont val="Calibri"/>
      </rPr>
      <t>ECF = 1.4 + (-0.03*EF)</t>
    </r>
  </si>
  <si>
    <t>FPA desfavorables</t>
  </si>
  <si>
    <t>6. PCU AJUSTADOS</t>
  </si>
  <si>
    <r>
      <rPr>
        <b/>
        <sz val="12"/>
        <color theme="1"/>
        <rFont val="Calibri"/>
      </rPr>
      <t xml:space="preserve">Puntos de Casos de Uso Ajustados: AUCP = </t>
    </r>
    <r>
      <rPr>
        <b/>
        <sz val="12"/>
        <color rgb="FFFF0000"/>
        <rFont val="Calibri"/>
      </rPr>
      <t>UUCP * TCF * ECF</t>
    </r>
  </si>
  <si>
    <t>7. ESFUERZO CODIFICACION</t>
  </si>
  <si>
    <t>h-h / AUCP: Karner</t>
  </si>
  <si>
    <t>h-h / AUCP: Schneider &amp; Winters</t>
  </si>
  <si>
    <t>h-h / AUCP: Estadística propia</t>
  </si>
  <si>
    <t>h-h/UCP: Velocidad propia</t>
  </si>
  <si>
    <t>Esfuerzo</t>
  </si>
  <si>
    <t>Esfuerzo (h-h)</t>
  </si>
  <si>
    <t>Dedicación Diaria (hs)</t>
  </si>
  <si>
    <t>Esfuerzo (mes-h)</t>
  </si>
  <si>
    <t>8. ESFUERZO TOTAL</t>
  </si>
  <si>
    <t>Distribución Esfuerzo por Tarea</t>
  </si>
  <si>
    <t>Actividad</t>
  </si>
  <si>
    <t>Porcentaje</t>
  </si>
  <si>
    <t>Karner
(m-h)</t>
  </si>
  <si>
    <t>Sch&amp;Win
(m-h)</t>
  </si>
  <si>
    <t>Propia
(m-h)</t>
  </si>
  <si>
    <t>Propia
(h-h)</t>
  </si>
  <si>
    <t>Codificación</t>
  </si>
  <si>
    <t>Actividades restantes</t>
  </si>
  <si>
    <t>9. NUMERO PERSONAS</t>
  </si>
  <si>
    <t>10. DURACION PROYECTO</t>
  </si>
  <si>
    <t>Karner
(m)</t>
  </si>
  <si>
    <t>Sch&amp;Win
(m)</t>
  </si>
  <si>
    <t>Propia
(m)</t>
  </si>
  <si>
    <r>
      <rPr>
        <b/>
        <sz val="12"/>
        <color theme="1"/>
        <rFont val="Calibri"/>
      </rPr>
      <t xml:space="preserve">Puntos de CU No Ajustados: </t>
    </r>
    <r>
      <rPr>
        <b/>
        <sz val="12"/>
        <color rgb="FFFF0000"/>
        <rFont val="Calibri"/>
      </rPr>
      <t>UUCP = UAW + UUCW</t>
    </r>
  </si>
  <si>
    <r>
      <rPr>
        <b/>
        <sz val="12"/>
        <color theme="1"/>
        <rFont val="Calibri"/>
      </rPr>
      <t xml:space="preserve">Factores Técnicos: TF = </t>
    </r>
    <r>
      <rPr>
        <b/>
        <sz val="12"/>
        <color theme="1"/>
        <rFont val="Calibri"/>
      </rPr>
      <t xml:space="preserve">∑ </t>
    </r>
    <r>
      <rPr>
        <b/>
        <sz val="12"/>
        <color theme="1"/>
        <rFont val="Calibri"/>
      </rPr>
      <t xml:space="preserve">(Peso * Evaluacion ) </t>
    </r>
  </si>
  <si>
    <r>
      <rPr>
        <b/>
        <sz val="12"/>
        <color theme="1"/>
        <rFont val="Calibri"/>
      </rPr>
      <t xml:space="preserve">Factor de Complejidad Técnica:  </t>
    </r>
    <r>
      <rPr>
        <b/>
        <sz val="12"/>
        <color rgb="FFFF0000"/>
        <rFont val="Calibri"/>
      </rPr>
      <t xml:space="preserve">TCF = 0,06 + 0,01*TC </t>
    </r>
  </si>
  <si>
    <r>
      <rPr>
        <b/>
        <sz val="12"/>
        <color theme="1"/>
        <rFont val="Calibri"/>
      </rPr>
      <t xml:space="preserve">Factor de Complejidad Ambiental: </t>
    </r>
    <r>
      <rPr>
        <b/>
        <sz val="12"/>
        <color rgb="FFFF0000"/>
        <rFont val="Calibri"/>
      </rPr>
      <t>ECF = 1.4 + (-0.03*EF)</t>
    </r>
  </si>
  <si>
    <r>
      <rPr>
        <b/>
        <sz val="12"/>
        <color theme="1"/>
        <rFont val="Calibri"/>
      </rPr>
      <t xml:space="preserve">Puntos de Casos de Uso Ajustados: AUCP = </t>
    </r>
    <r>
      <rPr>
        <b/>
        <sz val="12"/>
        <color rgb="FFFF0000"/>
        <rFont val="Calibri"/>
      </rPr>
      <t>UUCP * TCF * ECF</t>
    </r>
  </si>
  <si>
    <r>
      <rPr>
        <b/>
        <sz val="12"/>
        <color theme="1"/>
        <rFont val="Calibri"/>
      </rPr>
      <t xml:space="preserve">Puntos de CU No Ajustados: </t>
    </r>
    <r>
      <rPr>
        <b/>
        <sz val="12"/>
        <color rgb="FFFF0000"/>
        <rFont val="Calibri"/>
      </rPr>
      <t>UUCP = UAW + UUCW</t>
    </r>
  </si>
  <si>
    <r>
      <rPr>
        <b/>
        <sz val="12"/>
        <color theme="1"/>
        <rFont val="Calibri"/>
      </rPr>
      <t xml:space="preserve">Factores Técnicos: TF = </t>
    </r>
    <r>
      <rPr>
        <b/>
        <sz val="12"/>
        <color theme="1"/>
        <rFont val="Calibri"/>
      </rPr>
      <t xml:space="preserve">∑ </t>
    </r>
    <r>
      <rPr>
        <b/>
        <sz val="12"/>
        <color theme="1"/>
        <rFont val="Calibri"/>
      </rPr>
      <t xml:space="preserve">(Peso * Evaluacion ) </t>
    </r>
  </si>
  <si>
    <r>
      <rPr>
        <b/>
        <sz val="12"/>
        <color theme="1"/>
        <rFont val="Calibri"/>
      </rPr>
      <t xml:space="preserve">Factor de Complejidad Técnica:  </t>
    </r>
    <r>
      <rPr>
        <b/>
        <sz val="12"/>
        <color rgb="FFFF0000"/>
        <rFont val="Calibri"/>
      </rPr>
      <t xml:space="preserve">TCF = 0,06 + 0,01*TC </t>
    </r>
  </si>
  <si>
    <r>
      <rPr>
        <b/>
        <sz val="12"/>
        <color theme="1"/>
        <rFont val="Calibri"/>
      </rPr>
      <t xml:space="preserve">Factor de Complejidad Ambiental: </t>
    </r>
    <r>
      <rPr>
        <b/>
        <sz val="12"/>
        <color rgb="FFFF0000"/>
        <rFont val="Calibri"/>
      </rPr>
      <t>ECF = 1.4 + (-0.03*EF)</t>
    </r>
  </si>
  <si>
    <r>
      <rPr>
        <b/>
        <sz val="12"/>
        <color theme="1"/>
        <rFont val="Calibri"/>
      </rPr>
      <t xml:space="preserve">Puntos de Casos de Uso Ajustados: AUCP = </t>
    </r>
    <r>
      <rPr>
        <b/>
        <sz val="12"/>
        <color rgb="FFFF0000"/>
        <rFont val="Calibri"/>
      </rPr>
      <t>UUCP * TCF * ECF</t>
    </r>
  </si>
  <si>
    <t>11. FECHA ESTIMACIÓN</t>
  </si>
  <si>
    <t>FECHA FINALIZACIÓN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</si>
</sst>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6" x14ac:knownFonts="1">
    <font>
      <sz val="10"/>
      <color rgb="FF000000"/>
      <name val="Arial"/>
      <scheme val="minor"/>
    </font>
    <font>
      <sz val="12"/>
      <color theme="1"/>
      <name val="Calibri"/>
    </font>
    <font>
      <b/>
      <sz val="16"/>
      <color theme="1"/>
      <name val="Calibri"/>
    </font>
    <font>
      <sz val="10"/>
      <name val="Arial"/>
    </font>
    <font>
      <b/>
      <sz val="12"/>
      <color theme="1"/>
      <name val="Calibri"/>
    </font>
    <font>
      <sz val="12"/>
      <color rgb="FF3F3F76"/>
      <name val="Calibri"/>
    </font>
    <font>
      <b/>
      <sz val="12"/>
      <color rgb="FFFA7D00"/>
      <name val="Calibri"/>
    </font>
    <font>
      <b/>
      <sz val="12"/>
      <color rgb="FF3F3F3F"/>
      <name val="Calibri"/>
    </font>
    <font>
      <u/>
      <sz val="10"/>
      <color theme="10"/>
      <name val="Arial"/>
    </font>
    <font>
      <b/>
      <sz val="11"/>
      <color rgb="FFFA7D00"/>
      <name val="Calibri"/>
    </font>
    <font>
      <b/>
      <sz val="12"/>
      <color rgb="FF002060"/>
      <name val="Calibri"/>
    </font>
    <font>
      <b/>
      <sz val="12"/>
      <color rgb="FF3F3F76"/>
      <name val="Calibri"/>
    </font>
    <font>
      <b/>
      <sz val="12"/>
      <color rgb="FFFF0000"/>
      <name val="Calibri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3F3F7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6" tint="0.59999389629810485"/>
        <bgColor rgb="FFD8D8D8"/>
      </patternFill>
    </fill>
    <fill>
      <patternFill patternType="solid">
        <fgColor theme="0" tint="-0.14999847407452621"/>
        <bgColor rgb="FFFFCC99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vertical="center"/>
    </xf>
    <xf numFmtId="49" fontId="5" fillId="3" borderId="9" xfId="0" applyNumberFormat="1" applyFont="1" applyFill="1" applyBorder="1" applyAlignment="1">
      <alignment vertical="center"/>
    </xf>
    <xf numFmtId="0" fontId="5" fillId="3" borderId="9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 wrapText="1"/>
    </xf>
    <xf numFmtId="0" fontId="7" fillId="4" borderId="9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49" fontId="4" fillId="0" borderId="0" xfId="0" applyNumberFormat="1" applyFont="1" applyAlignment="1">
      <alignment vertical="center"/>
    </xf>
    <xf numFmtId="0" fontId="5" fillId="3" borderId="10" xfId="0" applyFont="1" applyFill="1" applyBorder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vertical="center" wrapText="1"/>
    </xf>
    <xf numFmtId="49" fontId="1" fillId="0" borderId="9" xfId="0" applyNumberFormat="1" applyFont="1" applyBorder="1" applyAlignment="1">
      <alignment vertical="center" wrapText="1"/>
    </xf>
    <xf numFmtId="49" fontId="5" fillId="3" borderId="9" xfId="0" applyNumberFormat="1" applyFont="1" applyFill="1" applyBorder="1" applyAlignment="1">
      <alignment horizontal="left" vertical="center"/>
    </xf>
    <xf numFmtId="49" fontId="1" fillId="4" borderId="9" xfId="0" applyNumberFormat="1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9" fillId="4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49" fontId="1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/>
    </xf>
    <xf numFmtId="164" fontId="4" fillId="2" borderId="9" xfId="0" applyNumberFormat="1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vertical="center" wrapText="1"/>
    </xf>
    <xf numFmtId="164" fontId="1" fillId="2" borderId="9" xfId="0" applyNumberFormat="1" applyFont="1" applyFill="1" applyBorder="1" applyAlignment="1">
      <alignment horizontal="center" vertical="center"/>
    </xf>
    <xf numFmtId="2" fontId="1" fillId="2" borderId="9" xfId="0" applyNumberFormat="1" applyFont="1" applyFill="1" applyBorder="1" applyAlignment="1">
      <alignment horizontal="center" vertical="center"/>
    </xf>
    <xf numFmtId="164" fontId="5" fillId="3" borderId="9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4" fontId="4" fillId="2" borderId="9" xfId="0" applyNumberFormat="1" applyFont="1" applyFill="1" applyBorder="1" applyAlignment="1">
      <alignment horizontal="center" vertical="center"/>
    </xf>
    <xf numFmtId="165" fontId="4" fillId="2" borderId="9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2" borderId="9" xfId="0" applyFont="1" applyFill="1" applyBorder="1" applyAlignment="1">
      <alignment horizontal="left" vertical="center" wrapText="1"/>
    </xf>
    <xf numFmtId="9" fontId="11" fillId="3" borderId="9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right" vertical="center" wrapText="1"/>
    </xf>
    <xf numFmtId="2" fontId="13" fillId="0" borderId="0" xfId="0" applyNumberFormat="1" applyFont="1" applyAlignment="1">
      <alignment vertical="center" wrapText="1"/>
    </xf>
    <xf numFmtId="164" fontId="13" fillId="2" borderId="9" xfId="0" applyNumberFormat="1" applyFont="1" applyFill="1" applyBorder="1" applyAlignment="1">
      <alignment horizontal="center" vertical="center" wrapText="1"/>
    </xf>
    <xf numFmtId="164" fontId="13" fillId="6" borderId="9" xfId="0" applyNumberFormat="1" applyFont="1" applyFill="1" applyBorder="1" applyAlignment="1">
      <alignment horizontal="center" vertical="center" wrapText="1"/>
    </xf>
    <xf numFmtId="2" fontId="14" fillId="0" borderId="0" xfId="0" applyNumberFormat="1" applyFont="1" applyAlignment="1">
      <alignment horizontal="right" vertical="center" wrapText="1"/>
    </xf>
    <xf numFmtId="2" fontId="14" fillId="0" borderId="0" xfId="0" applyNumberFormat="1" applyFont="1" applyAlignment="1">
      <alignment vertical="center" wrapText="1"/>
    </xf>
    <xf numFmtId="14" fontId="15" fillId="3" borderId="9" xfId="0" applyNumberFormat="1" applyFont="1" applyFill="1" applyBorder="1" applyAlignment="1">
      <alignment horizontal="center" vertical="center" wrapText="1"/>
    </xf>
    <xf numFmtId="14" fontId="15" fillId="7" borderId="9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right" vertic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right" vertical="center" wrapText="1"/>
    </xf>
    <xf numFmtId="0" fontId="3" fillId="0" borderId="7" xfId="0" applyFont="1" applyBorder="1"/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64</xdr:row>
      <xdr:rowOff>438150</xdr:rowOff>
    </xdr:from>
    <xdr:ext cx="4381500" cy="26670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00075" y="20508334"/>
          <a:ext cx="4381500" cy="2667000"/>
          <a:chOff x="3155250" y="2446500"/>
          <a:chExt cx="4381500" cy="26670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3155250" y="2446500"/>
            <a:ext cx="4381500" cy="2667000"/>
            <a:chOff x="3155250" y="2446500"/>
            <a:chExt cx="4381500" cy="2667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3155250" y="2446500"/>
              <a:ext cx="4381500" cy="2667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3155250" y="2446500"/>
              <a:ext cx="4381500" cy="2667000"/>
              <a:chOff x="3155250" y="2446500"/>
              <a:chExt cx="4381500" cy="26670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3155250" y="2446500"/>
                <a:ext cx="4381500" cy="2667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3155250" y="2446500"/>
                <a:ext cx="4381500" cy="2667000"/>
                <a:chOff x="3155250" y="2446500"/>
                <a:chExt cx="4381500" cy="2667000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3155250" y="2446500"/>
                  <a:ext cx="4381500" cy="2667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3155250" y="2446500"/>
                  <a:ext cx="4381500" cy="2667000"/>
                  <a:chOff x="3155250" y="2446500"/>
                  <a:chExt cx="4381500" cy="266700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3155250" y="2446500"/>
                    <a:ext cx="4381500" cy="2667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GrpSpPr/>
                </xdr:nvGrpSpPr>
                <xdr:grpSpPr>
                  <a:xfrm>
                    <a:off x="3155250" y="2446500"/>
                    <a:ext cx="4381500" cy="2667000"/>
                    <a:chOff x="3160013" y="2451263"/>
                    <a:chExt cx="4371975" cy="2657475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000-00000C000000}"/>
                        </a:ext>
                      </a:extLst>
                    </xdr:cNvPr>
                    <xdr:cNvSpPr/>
                  </xdr:nvSpPr>
                  <xdr:spPr>
                    <a:xfrm>
                      <a:off x="3160013" y="2451263"/>
                      <a:ext cx="437197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CxnSpPr/>
                  </xdr:nvCxnSpPr>
                  <xdr:spPr>
                    <a:xfrm>
                      <a:off x="3160013" y="2451263"/>
                      <a:ext cx="4371975" cy="2657475"/>
                    </a:xfrm>
                    <a:prstGeom prst="straightConnector1">
                      <a:avLst/>
                    </a:prstGeom>
                    <a:noFill/>
                    <a:ln w="9525" cap="flat" cmpd="sng">
                      <a:solidFill>
                        <a:srgbClr val="4A7DBA"/>
                      </a:solidFill>
                      <a:prstDash val="solid"/>
                      <a:round/>
                      <a:headEnd type="none" w="sm" len="sm"/>
                      <a:tailEnd type="triangle" w="med" len="med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64</xdr:row>
      <xdr:rowOff>438150</xdr:rowOff>
    </xdr:from>
    <xdr:ext cx="4381500" cy="26670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00075" y="20508334"/>
          <a:ext cx="4381500" cy="2667000"/>
          <a:chOff x="3155250" y="2446500"/>
          <a:chExt cx="4381500" cy="26670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155250" y="2446500"/>
            <a:ext cx="4381500" cy="2667000"/>
            <a:chOff x="3155250" y="2446500"/>
            <a:chExt cx="4381500" cy="2667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3155250" y="2446500"/>
              <a:ext cx="4381500" cy="2667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3155250" y="2446500"/>
              <a:ext cx="4381500" cy="2667000"/>
              <a:chOff x="3155250" y="2446500"/>
              <a:chExt cx="4381500" cy="26670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3155250" y="2446500"/>
                <a:ext cx="4381500" cy="2667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GrpSpPr/>
            </xdr:nvGrpSpPr>
            <xdr:grpSpPr>
              <a:xfrm>
                <a:off x="3155250" y="2446500"/>
                <a:ext cx="4381500" cy="2667000"/>
                <a:chOff x="3155250" y="2446500"/>
                <a:chExt cx="4381500" cy="2667000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100-000008000000}"/>
                    </a:ext>
                  </a:extLst>
                </xdr:cNvPr>
                <xdr:cNvSpPr/>
              </xdr:nvSpPr>
              <xdr:spPr>
                <a:xfrm>
                  <a:off x="3155250" y="2446500"/>
                  <a:ext cx="4381500" cy="2667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100-000009000000}"/>
                    </a:ext>
                  </a:extLst>
                </xdr:cNvPr>
                <xdr:cNvGrpSpPr/>
              </xdr:nvGrpSpPr>
              <xdr:grpSpPr>
                <a:xfrm>
                  <a:off x="3155250" y="2446500"/>
                  <a:ext cx="4381500" cy="2667000"/>
                  <a:chOff x="3155250" y="2446500"/>
                  <a:chExt cx="4381500" cy="266700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100-00000A000000}"/>
                      </a:ext>
                    </a:extLst>
                  </xdr:cNvPr>
                  <xdr:cNvSpPr/>
                </xdr:nvSpPr>
                <xdr:spPr>
                  <a:xfrm>
                    <a:off x="3155250" y="2446500"/>
                    <a:ext cx="4381500" cy="2667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100-00000B000000}"/>
                      </a:ext>
                    </a:extLst>
                  </xdr:cNvPr>
                  <xdr:cNvGrpSpPr/>
                </xdr:nvGrpSpPr>
                <xdr:grpSpPr>
                  <a:xfrm>
                    <a:off x="3155250" y="2446500"/>
                    <a:ext cx="4381500" cy="2667000"/>
                    <a:chOff x="3160013" y="2451263"/>
                    <a:chExt cx="4371975" cy="2657475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100-00000C000000}"/>
                        </a:ext>
                      </a:extLst>
                    </xdr:cNvPr>
                    <xdr:cNvSpPr/>
                  </xdr:nvSpPr>
                  <xdr:spPr>
                    <a:xfrm>
                      <a:off x="3160013" y="2451263"/>
                      <a:ext cx="437197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100-00000D000000}"/>
                        </a:ext>
                      </a:extLst>
                    </xdr:cNvPr>
                    <xdr:cNvCxnSpPr/>
                  </xdr:nvCxnSpPr>
                  <xdr:spPr>
                    <a:xfrm>
                      <a:off x="3160013" y="2451263"/>
                      <a:ext cx="4371975" cy="2657475"/>
                    </a:xfrm>
                    <a:prstGeom prst="straightConnector1">
                      <a:avLst/>
                    </a:prstGeom>
                    <a:noFill/>
                    <a:ln w="9525" cap="flat" cmpd="sng">
                      <a:solidFill>
                        <a:srgbClr val="4A7DBA"/>
                      </a:solidFill>
                      <a:prstDash val="solid"/>
                      <a:round/>
                      <a:headEnd type="none" w="sm" len="sm"/>
                      <a:tailEnd type="triangle" w="med" len="med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64</xdr:row>
      <xdr:rowOff>438150</xdr:rowOff>
    </xdr:from>
    <xdr:ext cx="4381500" cy="26670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600075" y="20562570"/>
          <a:ext cx="4381500" cy="2667000"/>
          <a:chOff x="3155250" y="2446500"/>
          <a:chExt cx="4381500" cy="26670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3155250" y="2446500"/>
            <a:ext cx="4381500" cy="2667000"/>
            <a:chOff x="3155250" y="2446500"/>
            <a:chExt cx="4381500" cy="2667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3155250" y="2446500"/>
              <a:ext cx="4381500" cy="2667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GrpSpPr/>
          </xdr:nvGrpSpPr>
          <xdr:grpSpPr>
            <a:xfrm>
              <a:off x="3155250" y="2446500"/>
              <a:ext cx="4381500" cy="2667000"/>
              <a:chOff x="3155250" y="2446500"/>
              <a:chExt cx="4381500" cy="26670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200-000006000000}"/>
                  </a:ext>
                </a:extLst>
              </xdr:cNvPr>
              <xdr:cNvSpPr/>
            </xdr:nvSpPr>
            <xdr:spPr>
              <a:xfrm>
                <a:off x="3155250" y="2446500"/>
                <a:ext cx="4381500" cy="2667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200-000007000000}"/>
                  </a:ext>
                </a:extLst>
              </xdr:cNvPr>
              <xdr:cNvGrpSpPr/>
            </xdr:nvGrpSpPr>
            <xdr:grpSpPr>
              <a:xfrm>
                <a:off x="3155250" y="2446500"/>
                <a:ext cx="4381500" cy="2667000"/>
                <a:chOff x="3155250" y="2446500"/>
                <a:chExt cx="4381500" cy="2667000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200-000008000000}"/>
                    </a:ext>
                  </a:extLst>
                </xdr:cNvPr>
                <xdr:cNvSpPr/>
              </xdr:nvSpPr>
              <xdr:spPr>
                <a:xfrm>
                  <a:off x="3155250" y="2446500"/>
                  <a:ext cx="4381500" cy="2667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200-000009000000}"/>
                    </a:ext>
                  </a:extLst>
                </xdr:cNvPr>
                <xdr:cNvGrpSpPr/>
              </xdr:nvGrpSpPr>
              <xdr:grpSpPr>
                <a:xfrm>
                  <a:off x="3155250" y="2446500"/>
                  <a:ext cx="4381500" cy="2667000"/>
                  <a:chOff x="3155250" y="2446500"/>
                  <a:chExt cx="4381500" cy="266700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200-00000A000000}"/>
                      </a:ext>
                    </a:extLst>
                  </xdr:cNvPr>
                  <xdr:cNvSpPr/>
                </xdr:nvSpPr>
                <xdr:spPr>
                  <a:xfrm>
                    <a:off x="3155250" y="2446500"/>
                    <a:ext cx="4381500" cy="2667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200-00000B000000}"/>
                      </a:ext>
                    </a:extLst>
                  </xdr:cNvPr>
                  <xdr:cNvGrpSpPr/>
                </xdr:nvGrpSpPr>
                <xdr:grpSpPr>
                  <a:xfrm>
                    <a:off x="3155250" y="2446500"/>
                    <a:ext cx="4381500" cy="2667000"/>
                    <a:chOff x="3160013" y="2451263"/>
                    <a:chExt cx="4371975" cy="2657475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200-00000C000000}"/>
                        </a:ext>
                      </a:extLst>
                    </xdr:cNvPr>
                    <xdr:cNvSpPr/>
                  </xdr:nvSpPr>
                  <xdr:spPr>
                    <a:xfrm>
                      <a:off x="3160013" y="2451263"/>
                      <a:ext cx="437197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200-00000D000000}"/>
                        </a:ext>
                      </a:extLst>
                    </xdr:cNvPr>
                    <xdr:cNvCxnSpPr/>
                  </xdr:nvCxnSpPr>
                  <xdr:spPr>
                    <a:xfrm>
                      <a:off x="3160013" y="2451263"/>
                      <a:ext cx="4371975" cy="2657475"/>
                    </a:xfrm>
                    <a:prstGeom prst="straightConnector1">
                      <a:avLst/>
                    </a:prstGeom>
                    <a:noFill/>
                    <a:ln w="9525" cap="flat" cmpd="sng">
                      <a:solidFill>
                        <a:srgbClr val="4A7DBA"/>
                      </a:solidFill>
                      <a:prstDash val="solid"/>
                      <a:round/>
                      <a:headEnd type="none" w="sm" len="sm"/>
                      <a:tailEnd type="triangle" w="med" len="med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zoomScale="85" zoomScaleNormal="85" workbookViewId="0">
      <selection activeCell="B22" sqref="B22"/>
    </sheetView>
  </sheetViews>
  <sheetFormatPr baseColWidth="10" defaultColWidth="12.6640625" defaultRowHeight="15" customHeight="1" x14ac:dyDescent="0.25"/>
  <cols>
    <col min="1" max="1" width="27.6640625" customWidth="1"/>
    <col min="2" max="2" width="51.109375" customWidth="1"/>
    <col min="3" max="3" width="42.6640625" customWidth="1"/>
    <col min="4" max="4" width="38.6640625" customWidth="1"/>
    <col min="5" max="5" width="13.6640625" customWidth="1"/>
    <col min="6" max="6" width="16.109375" customWidth="1"/>
    <col min="7" max="7" width="16.6640625" customWidth="1"/>
    <col min="8" max="8" width="34.33203125" customWidth="1"/>
    <col min="9" max="9" width="10.6640625" customWidth="1"/>
    <col min="10" max="10" width="13.6640625" customWidth="1"/>
    <col min="11" max="26" width="9.109375" customWidth="1"/>
  </cols>
  <sheetData>
    <row r="1" spans="1:26" ht="27.75" customHeight="1" x14ac:dyDescent="0.25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x14ac:dyDescent="0.25">
      <c r="A2" s="4"/>
      <c r="B2" s="79" t="s">
        <v>0</v>
      </c>
      <c r="C2" s="75"/>
      <c r="D2" s="75"/>
      <c r="E2" s="75"/>
      <c r="F2" s="75"/>
      <c r="G2" s="76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75" customHeight="1" x14ac:dyDescent="0.25">
      <c r="A3" s="4"/>
      <c r="B3" s="6" t="s">
        <v>1</v>
      </c>
      <c r="C3" s="4" t="s">
        <v>2</v>
      </c>
      <c r="D3" s="7"/>
      <c r="E3" s="7"/>
      <c r="F3" s="7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75" customHeight="1" x14ac:dyDescent="0.25">
      <c r="A4" s="4"/>
      <c r="B4" s="9" t="s">
        <v>3</v>
      </c>
      <c r="C4" s="10" t="s">
        <v>4</v>
      </c>
      <c r="D4" s="11"/>
      <c r="E4" s="11"/>
      <c r="F4" s="11"/>
      <c r="G4" s="12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75" customHeight="1" x14ac:dyDescent="0.25">
      <c r="A5" s="1"/>
      <c r="B5" s="13"/>
      <c r="C5" s="1"/>
      <c r="D5" s="14"/>
      <c r="E5" s="14"/>
      <c r="F5" s="14"/>
      <c r="G5" s="14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75" customHeight="1" x14ac:dyDescent="0.25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5" t="s">
        <v>5</v>
      </c>
      <c r="B7" s="16" t="s">
        <v>6</v>
      </c>
      <c r="C7" s="17" t="s">
        <v>7</v>
      </c>
      <c r="D7" s="17" t="s">
        <v>8</v>
      </c>
      <c r="E7" s="16" t="s">
        <v>9</v>
      </c>
      <c r="F7" s="16" t="s">
        <v>10</v>
      </c>
      <c r="G7" s="16" t="s">
        <v>11</v>
      </c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7.75" customHeight="1" x14ac:dyDescent="0.25">
      <c r="A8" s="1"/>
      <c r="B8" s="18" t="s">
        <v>12</v>
      </c>
      <c r="C8" s="19" t="s">
        <v>13</v>
      </c>
      <c r="D8" s="20" t="s">
        <v>14</v>
      </c>
      <c r="E8" s="21">
        <f t="shared" ref="E8:E12" si="0">IF(C8="Simple",1,IF(C8="Intermedio",2,IF(C8="Complejo",3,"error")))</f>
        <v>3</v>
      </c>
      <c r="F8" s="22">
        <v>1</v>
      </c>
      <c r="G8" s="21">
        <f t="shared" ref="G8:G12" si="1">E8*F8</f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5" customHeight="1" x14ac:dyDescent="0.25">
      <c r="A9" s="1"/>
      <c r="B9" s="18" t="s">
        <v>15</v>
      </c>
      <c r="C9" s="19" t="s">
        <v>13</v>
      </c>
      <c r="D9" s="23" t="s">
        <v>16</v>
      </c>
      <c r="E9" s="21">
        <f t="shared" si="0"/>
        <v>3</v>
      </c>
      <c r="F9" s="22">
        <v>3</v>
      </c>
      <c r="G9" s="21">
        <f t="shared" si="1"/>
        <v>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75" customHeight="1" x14ac:dyDescent="0.25">
      <c r="A10" s="1"/>
      <c r="B10" s="18" t="s">
        <v>17</v>
      </c>
      <c r="C10" s="19" t="s">
        <v>18</v>
      </c>
      <c r="D10" s="23" t="s">
        <v>19</v>
      </c>
      <c r="E10" s="21">
        <f t="shared" si="0"/>
        <v>2</v>
      </c>
      <c r="F10" s="22">
        <v>1</v>
      </c>
      <c r="G10" s="21">
        <f t="shared" si="1"/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 x14ac:dyDescent="0.25">
      <c r="A11" s="1"/>
      <c r="B11" s="18" t="s">
        <v>20</v>
      </c>
      <c r="C11" s="19" t="s">
        <v>21</v>
      </c>
      <c r="D11" s="23" t="s">
        <v>22</v>
      </c>
      <c r="E11" s="21">
        <f t="shared" si="0"/>
        <v>1</v>
      </c>
      <c r="F11" s="22">
        <v>1</v>
      </c>
      <c r="G11" s="21">
        <f t="shared" si="1"/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 x14ac:dyDescent="0.25">
      <c r="A12" s="1"/>
      <c r="B12" s="18" t="s">
        <v>23</v>
      </c>
      <c r="C12" s="19" t="s">
        <v>21</v>
      </c>
      <c r="D12" s="23" t="s">
        <v>24</v>
      </c>
      <c r="E12" s="21">
        <f t="shared" si="0"/>
        <v>1</v>
      </c>
      <c r="F12" s="22">
        <v>1</v>
      </c>
      <c r="G12" s="21">
        <f t="shared" si="1"/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75" customHeight="1" x14ac:dyDescent="0.25">
      <c r="A13" s="1"/>
      <c r="B13" s="24"/>
      <c r="C13" s="74" t="s">
        <v>25</v>
      </c>
      <c r="D13" s="75"/>
      <c r="E13" s="75"/>
      <c r="F13" s="76"/>
      <c r="G13" s="26">
        <f>SUM(G8:G12)</f>
        <v>16</v>
      </c>
      <c r="H13" s="1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75" customHeight="1" x14ac:dyDescent="0.25">
      <c r="A14" s="1"/>
      <c r="B14" s="15"/>
      <c r="C14" s="27" t="s">
        <v>26</v>
      </c>
      <c r="D14" s="3"/>
      <c r="E14" s="3"/>
      <c r="F14" s="3"/>
      <c r="G14" s="28"/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75" customHeight="1" x14ac:dyDescent="0.25">
      <c r="A15" s="1"/>
      <c r="B15" s="15"/>
      <c r="C15" s="29"/>
      <c r="D15" s="29"/>
      <c r="E15" s="30"/>
      <c r="F15" s="15"/>
      <c r="G15" s="15"/>
      <c r="H15" s="1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75" customHeight="1" x14ac:dyDescent="0.25">
      <c r="A16" s="15" t="s">
        <v>27</v>
      </c>
      <c r="B16" s="16" t="s">
        <v>28</v>
      </c>
      <c r="C16" s="16" t="s">
        <v>29</v>
      </c>
      <c r="D16" s="17" t="s">
        <v>30</v>
      </c>
      <c r="E16" s="17" t="s">
        <v>31</v>
      </c>
      <c r="F16" s="16" t="s">
        <v>9</v>
      </c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1"/>
      <c r="U16" s="1"/>
      <c r="V16" s="1"/>
      <c r="W16" s="1"/>
      <c r="X16" s="1"/>
      <c r="Y16" s="1"/>
      <c r="Z16" s="1"/>
    </row>
    <row r="17" spans="1:26" ht="27.6" customHeight="1" x14ac:dyDescent="0.25">
      <c r="A17" s="1"/>
      <c r="B17" s="32" t="s">
        <v>33</v>
      </c>
      <c r="C17" s="33" t="s">
        <v>34</v>
      </c>
      <c r="D17" s="33">
        <v>4</v>
      </c>
      <c r="E17" s="34" t="str">
        <f t="shared" ref="E17:E19" si="2">IF($D17&gt;0,IF($D17&lt;=3,"Simple",IF(AND($D17&gt;3,$D17&lt;7),"Intermedio",IF($D17&gt;=7,"Complejo","error"))),"-")</f>
        <v>Intermedio</v>
      </c>
      <c r="F17" s="21">
        <f t="shared" ref="F17:F19" si="3">IF($D17&gt;0,IF($D17&lt;=3,5,IF(AND($D17&gt;3,$D17&lt;7),10,IF($D17&gt;=7,15,"error"))),0)</f>
        <v>10</v>
      </c>
      <c r="G17" s="1"/>
      <c r="H17" s="1"/>
      <c r="I17" s="1"/>
      <c r="J17" s="1"/>
      <c r="K17" s="31"/>
      <c r="L17" s="1"/>
      <c r="M17" s="1"/>
      <c r="N17" s="1"/>
      <c r="O17" s="1"/>
      <c r="P17" s="1"/>
      <c r="Q17" s="1"/>
      <c r="R17" s="1"/>
      <c r="S17" s="1"/>
      <c r="T17" s="31"/>
      <c r="U17" s="1"/>
      <c r="V17" s="1"/>
      <c r="W17" s="1"/>
      <c r="X17" s="1"/>
      <c r="Y17" s="1"/>
      <c r="Z17" s="1"/>
    </row>
    <row r="18" spans="1:26" ht="27.75" customHeight="1" x14ac:dyDescent="0.25">
      <c r="A18" s="1"/>
      <c r="B18" s="32" t="s">
        <v>35</v>
      </c>
      <c r="C18" s="33" t="s">
        <v>36</v>
      </c>
      <c r="D18" s="33">
        <v>4</v>
      </c>
      <c r="E18" s="34" t="str">
        <f t="shared" si="2"/>
        <v>Intermedio</v>
      </c>
      <c r="F18" s="21">
        <f t="shared" si="3"/>
        <v>10</v>
      </c>
      <c r="G18" s="1"/>
      <c r="H18" s="1"/>
      <c r="I18" s="1"/>
      <c r="J18" s="1"/>
      <c r="K18" s="31"/>
      <c r="L18" s="1"/>
      <c r="M18" s="1"/>
      <c r="N18" s="1"/>
      <c r="O18" s="1"/>
      <c r="P18" s="1"/>
      <c r="Q18" s="1"/>
      <c r="R18" s="1"/>
      <c r="S18" s="1"/>
      <c r="T18" s="31"/>
      <c r="U18" s="1"/>
      <c r="V18" s="1"/>
      <c r="W18" s="1"/>
      <c r="X18" s="1"/>
      <c r="Y18" s="1"/>
      <c r="Z18" s="1"/>
    </row>
    <row r="19" spans="1:26" ht="27.75" customHeight="1" x14ac:dyDescent="0.25">
      <c r="A19" s="1"/>
      <c r="B19" s="32" t="s">
        <v>37</v>
      </c>
      <c r="C19" s="33" t="s">
        <v>32</v>
      </c>
      <c r="D19" s="33">
        <v>3</v>
      </c>
      <c r="E19" s="34" t="str">
        <f t="shared" si="2"/>
        <v>Simple</v>
      </c>
      <c r="F19" s="21">
        <f t="shared" si="3"/>
        <v>5</v>
      </c>
      <c r="G19" s="1"/>
      <c r="H19" s="1"/>
      <c r="I19" s="1"/>
      <c r="J19" s="1"/>
      <c r="K19" s="31"/>
      <c r="L19" s="1"/>
      <c r="M19" s="1"/>
      <c r="N19" s="1"/>
      <c r="O19" s="1"/>
      <c r="P19" s="1"/>
      <c r="Q19" s="1"/>
      <c r="R19" s="1"/>
      <c r="S19" s="1"/>
      <c r="T19" s="31"/>
      <c r="U19" s="1"/>
      <c r="V19" s="1"/>
      <c r="W19" s="1"/>
      <c r="X19" s="1"/>
      <c r="Y19" s="1"/>
      <c r="Z19" s="1"/>
    </row>
    <row r="20" spans="1:26" ht="27.75" customHeight="1" x14ac:dyDescent="0.25">
      <c r="A20" s="1"/>
      <c r="B20" s="35"/>
      <c r="C20" s="80" t="s">
        <v>38</v>
      </c>
      <c r="D20" s="81"/>
      <c r="E20" s="82"/>
      <c r="F20" s="36">
        <f>SUM(F17:F19)</f>
        <v>25</v>
      </c>
      <c r="G20" s="1"/>
      <c r="H20" s="1"/>
      <c r="I20" s="1"/>
      <c r="J20" s="1"/>
      <c r="K20" s="31"/>
      <c r="L20" s="1"/>
      <c r="M20" s="1"/>
      <c r="N20" s="1"/>
      <c r="O20" s="1"/>
      <c r="P20" s="1"/>
      <c r="Q20" s="1"/>
      <c r="R20" s="1"/>
      <c r="S20" s="1"/>
      <c r="T20" s="31"/>
      <c r="U20" s="1"/>
      <c r="V20" s="1"/>
      <c r="W20" s="1"/>
      <c r="X20" s="1"/>
      <c r="Y20" s="1"/>
      <c r="Z20" s="1"/>
    </row>
    <row r="21" spans="1:26" ht="27.75" customHeight="1" x14ac:dyDescent="0.25">
      <c r="A21" s="1"/>
      <c r="G21" s="1"/>
      <c r="H21" s="1"/>
      <c r="I21" s="1"/>
      <c r="J21" s="1"/>
      <c r="K21" s="31"/>
      <c r="L21" s="1"/>
      <c r="M21" s="1"/>
      <c r="N21" s="1"/>
      <c r="O21" s="1"/>
      <c r="P21" s="1"/>
      <c r="Q21" s="1"/>
      <c r="R21" s="1"/>
      <c r="S21" s="1"/>
      <c r="T21" s="31"/>
      <c r="U21" s="1"/>
      <c r="V21" s="1"/>
      <c r="W21" s="1"/>
      <c r="X21" s="1"/>
      <c r="Y21" s="1"/>
      <c r="Z21" s="1"/>
    </row>
    <row r="22" spans="1:26" ht="27.75" customHeight="1" x14ac:dyDescent="0.25">
      <c r="A22" s="1"/>
      <c r="G22" s="1"/>
      <c r="H22" s="1"/>
      <c r="I22" s="1"/>
      <c r="J22" s="1"/>
      <c r="K22" s="31"/>
      <c r="L22" s="1"/>
      <c r="M22" s="1"/>
      <c r="N22" s="1"/>
      <c r="O22" s="1"/>
      <c r="P22" s="1"/>
      <c r="Q22" s="1"/>
      <c r="R22" s="1"/>
      <c r="S22" s="1"/>
      <c r="T22" s="31"/>
      <c r="U22" s="1"/>
      <c r="V22" s="1"/>
      <c r="W22" s="1"/>
      <c r="X22" s="1"/>
      <c r="Y22" s="1"/>
      <c r="Z22" s="1"/>
    </row>
    <row r="23" spans="1:26" ht="27.75" customHeight="1" x14ac:dyDescent="0.25">
      <c r="A23" s="1"/>
      <c r="G23" s="1"/>
      <c r="H23" s="1"/>
      <c r="I23" s="1"/>
      <c r="J23" s="1"/>
      <c r="K23" s="31"/>
      <c r="L23" s="1"/>
      <c r="M23" s="1"/>
      <c r="N23" s="1"/>
      <c r="O23" s="1"/>
      <c r="P23" s="1"/>
      <c r="Q23" s="1"/>
      <c r="R23" s="1"/>
      <c r="S23" s="1"/>
      <c r="T23" s="31"/>
      <c r="U23" s="1"/>
      <c r="V23" s="1"/>
      <c r="W23" s="1"/>
      <c r="X23" s="1"/>
      <c r="Y23" s="1"/>
      <c r="Z23" s="1"/>
    </row>
    <row r="24" spans="1:26" ht="27.75" customHeight="1" x14ac:dyDescent="0.25">
      <c r="A24" s="15" t="s">
        <v>39</v>
      </c>
      <c r="B24" s="37"/>
      <c r="C24" s="74" t="s">
        <v>40</v>
      </c>
      <c r="D24" s="75"/>
      <c r="E24" s="76"/>
      <c r="F24" s="26">
        <f>G13+F20</f>
        <v>41</v>
      </c>
      <c r="G24" s="1"/>
      <c r="H24" s="15"/>
      <c r="I24" s="1"/>
      <c r="J24" s="1"/>
      <c r="K24" s="3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.75" customHeight="1" x14ac:dyDescent="0.25">
      <c r="A25" s="1"/>
      <c r="B25" s="1"/>
      <c r="C25" s="1"/>
      <c r="D25" s="2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.75" customHeight="1" x14ac:dyDescent="0.25">
      <c r="A26" s="1"/>
      <c r="B26" s="1"/>
      <c r="C26" s="1"/>
      <c r="D26" s="2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.75" customHeight="1" x14ac:dyDescent="0.25">
      <c r="G27" s="1"/>
      <c r="H27" s="1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.75" customHeight="1" x14ac:dyDescent="0.25">
      <c r="A28" s="1"/>
      <c r="B28" s="1"/>
      <c r="C28" s="1"/>
      <c r="D28" s="2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.75" customHeight="1" x14ac:dyDescent="0.25">
      <c r="A29" s="1"/>
      <c r="B29" s="3"/>
      <c r="C29" s="1"/>
      <c r="D29" s="2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.75" customHeight="1" x14ac:dyDescent="0.25">
      <c r="A30" s="15" t="s">
        <v>41</v>
      </c>
      <c r="B30" s="17" t="s">
        <v>42</v>
      </c>
      <c r="C30" s="17" t="s">
        <v>43</v>
      </c>
      <c r="D30" s="16" t="s">
        <v>44</v>
      </c>
      <c r="E30" s="16" t="s">
        <v>9</v>
      </c>
      <c r="F30" s="16" t="s">
        <v>45</v>
      </c>
      <c r="G30" s="16" t="s">
        <v>46</v>
      </c>
      <c r="H30" s="1" t="s">
        <v>47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27.75" customHeight="1" x14ac:dyDescent="0.25">
      <c r="A31" s="1"/>
      <c r="B31" s="38" t="s">
        <v>48</v>
      </c>
      <c r="C31" s="38" t="s">
        <v>49</v>
      </c>
      <c r="D31" s="39" t="s">
        <v>50</v>
      </c>
      <c r="E31" s="40" t="s">
        <v>51</v>
      </c>
      <c r="F31" s="22">
        <v>0</v>
      </c>
      <c r="G31" s="41">
        <f t="shared" ref="G31:G43" si="4">E31*F31</f>
        <v>0</v>
      </c>
      <c r="H31" s="42" t="s">
        <v>52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38" t="s">
        <v>53</v>
      </c>
      <c r="C32" s="38" t="s">
        <v>49</v>
      </c>
      <c r="D32" s="39" t="s">
        <v>50</v>
      </c>
      <c r="E32" s="41">
        <v>2</v>
      </c>
      <c r="F32" s="22">
        <v>3</v>
      </c>
      <c r="G32" s="41">
        <f t="shared" si="4"/>
        <v>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75" customHeight="1" x14ac:dyDescent="0.25">
      <c r="A33" s="1"/>
      <c r="B33" s="38" t="s">
        <v>54</v>
      </c>
      <c r="C33" s="38" t="s">
        <v>49</v>
      </c>
      <c r="D33" s="39" t="s">
        <v>50</v>
      </c>
      <c r="E33" s="41">
        <v>1</v>
      </c>
      <c r="F33" s="22">
        <v>5</v>
      </c>
      <c r="G33" s="41">
        <f t="shared" si="4"/>
        <v>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38" t="s">
        <v>55</v>
      </c>
      <c r="C34" s="38" t="s">
        <v>49</v>
      </c>
      <c r="D34" s="39" t="s">
        <v>50</v>
      </c>
      <c r="E34" s="41">
        <v>1</v>
      </c>
      <c r="F34" s="22">
        <v>4</v>
      </c>
      <c r="G34" s="41">
        <f t="shared" si="4"/>
        <v>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.75" customHeight="1" x14ac:dyDescent="0.25">
      <c r="A35" s="1"/>
      <c r="B35" s="38" t="s">
        <v>56</v>
      </c>
      <c r="C35" s="38" t="s">
        <v>49</v>
      </c>
      <c r="D35" s="39" t="s">
        <v>50</v>
      </c>
      <c r="E35" s="40">
        <v>1</v>
      </c>
      <c r="F35" s="22">
        <v>2</v>
      </c>
      <c r="G35" s="41">
        <f t="shared" si="4"/>
        <v>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.75" customHeight="1" x14ac:dyDescent="0.25">
      <c r="A36" s="1"/>
      <c r="B36" s="38" t="s">
        <v>57</v>
      </c>
      <c r="C36" s="38" t="s">
        <v>49</v>
      </c>
      <c r="D36" s="39" t="s">
        <v>50</v>
      </c>
      <c r="E36" s="40">
        <v>0.5</v>
      </c>
      <c r="F36" s="22">
        <v>2</v>
      </c>
      <c r="G36" s="41">
        <f t="shared" si="4"/>
        <v>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.75" customHeight="1" x14ac:dyDescent="0.25">
      <c r="A37" s="1"/>
      <c r="B37" s="38" t="s">
        <v>58</v>
      </c>
      <c r="C37" s="38" t="s">
        <v>49</v>
      </c>
      <c r="D37" s="39" t="s">
        <v>50</v>
      </c>
      <c r="E37" s="40">
        <v>0.5</v>
      </c>
      <c r="F37" s="22">
        <v>3</v>
      </c>
      <c r="G37" s="41">
        <f t="shared" si="4"/>
        <v>1.5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5">
      <c r="A38" s="1"/>
      <c r="B38" s="38" t="s">
        <v>59</v>
      </c>
      <c r="C38" s="38" t="s">
        <v>49</v>
      </c>
      <c r="D38" s="39" t="s">
        <v>50</v>
      </c>
      <c r="E38" s="40">
        <v>2</v>
      </c>
      <c r="F38" s="22">
        <v>1</v>
      </c>
      <c r="G38" s="41">
        <f t="shared" si="4"/>
        <v>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.75" customHeight="1" x14ac:dyDescent="0.25">
      <c r="A39" s="1"/>
      <c r="B39" s="38" t="s">
        <v>60</v>
      </c>
      <c r="C39" s="38" t="s">
        <v>49</v>
      </c>
      <c r="D39" s="39" t="s">
        <v>50</v>
      </c>
      <c r="E39" s="40">
        <v>1</v>
      </c>
      <c r="F39" s="22">
        <v>2</v>
      </c>
      <c r="G39" s="41">
        <f t="shared" si="4"/>
        <v>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.75" customHeight="1" x14ac:dyDescent="0.25">
      <c r="A40" s="1"/>
      <c r="B40" s="38" t="s">
        <v>61</v>
      </c>
      <c r="C40" s="38" t="s">
        <v>49</v>
      </c>
      <c r="D40" s="39" t="s">
        <v>50</v>
      </c>
      <c r="E40" s="40">
        <v>1</v>
      </c>
      <c r="F40" s="22">
        <v>4</v>
      </c>
      <c r="G40" s="41">
        <f t="shared" si="4"/>
        <v>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38" t="s">
        <v>62</v>
      </c>
      <c r="C41" s="38" t="s">
        <v>49</v>
      </c>
      <c r="D41" s="39" t="s">
        <v>50</v>
      </c>
      <c r="E41" s="41">
        <v>1</v>
      </c>
      <c r="F41" s="22">
        <v>3</v>
      </c>
      <c r="G41" s="41">
        <f t="shared" si="4"/>
        <v>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38" t="s">
        <v>63</v>
      </c>
      <c r="C42" s="38" t="s">
        <v>49</v>
      </c>
      <c r="D42" s="39" t="s">
        <v>50</v>
      </c>
      <c r="E42" s="41">
        <v>1</v>
      </c>
      <c r="F42" s="22">
        <v>2</v>
      </c>
      <c r="G42" s="41">
        <f t="shared" si="4"/>
        <v>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38" t="s">
        <v>64</v>
      </c>
      <c r="C43" s="38" t="s">
        <v>49</v>
      </c>
      <c r="D43" s="39" t="s">
        <v>50</v>
      </c>
      <c r="E43" s="40">
        <v>1</v>
      </c>
      <c r="F43" s="22">
        <v>2</v>
      </c>
      <c r="G43" s="41">
        <f t="shared" si="4"/>
        <v>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.75" customHeight="1" x14ac:dyDescent="0.25">
      <c r="A44" s="1"/>
      <c r="B44" s="74" t="s">
        <v>65</v>
      </c>
      <c r="C44" s="75"/>
      <c r="D44" s="75"/>
      <c r="E44" s="75"/>
      <c r="F44" s="76"/>
      <c r="G44" s="43">
        <f>SUM(G31:G43)</f>
        <v>34.5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75" customHeight="1" x14ac:dyDescent="0.25">
      <c r="A45" s="1"/>
      <c r="B45" s="74" t="s">
        <v>66</v>
      </c>
      <c r="C45" s="75"/>
      <c r="D45" s="75"/>
      <c r="E45" s="75"/>
      <c r="F45" s="76"/>
      <c r="G45" s="36">
        <f>0.6+(0.01*G44)</f>
        <v>0.94500000000000006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.75" customHeight="1" x14ac:dyDescent="0.25">
      <c r="A46" s="1"/>
      <c r="B46" s="27"/>
      <c r="C46" s="3"/>
      <c r="D46" s="3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.75" customHeight="1" x14ac:dyDescent="0.25">
      <c r="A47" s="1"/>
      <c r="B47" s="44"/>
      <c r="C47" s="44"/>
      <c r="D47" s="45"/>
      <c r="E47" s="44"/>
      <c r="F47" s="44"/>
      <c r="G47" s="4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5" t="s">
        <v>67</v>
      </c>
      <c r="B48" s="17" t="s">
        <v>68</v>
      </c>
      <c r="C48" s="17" t="s">
        <v>69</v>
      </c>
      <c r="D48" s="16" t="s">
        <v>70</v>
      </c>
      <c r="E48" s="16" t="s">
        <v>9</v>
      </c>
      <c r="F48" s="16" t="s">
        <v>45</v>
      </c>
      <c r="G48" s="16" t="s">
        <v>46</v>
      </c>
      <c r="H48" s="1" t="s">
        <v>71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25">
      <c r="A49" s="1"/>
      <c r="B49" s="46" t="s">
        <v>72</v>
      </c>
      <c r="C49" s="38" t="s">
        <v>73</v>
      </c>
      <c r="D49" s="39" t="s">
        <v>50</v>
      </c>
      <c r="E49" s="40">
        <v>1.5</v>
      </c>
      <c r="F49" s="22">
        <v>3</v>
      </c>
      <c r="G49" s="41">
        <f t="shared" ref="G49:G56" si="5">E49*F49</f>
        <v>4.5</v>
      </c>
      <c r="H49" s="42" t="s">
        <v>52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46" t="s">
        <v>74</v>
      </c>
      <c r="C50" s="38" t="s">
        <v>73</v>
      </c>
      <c r="D50" s="39" t="s">
        <v>50</v>
      </c>
      <c r="E50" s="40">
        <v>0.5</v>
      </c>
      <c r="F50" s="22">
        <v>2</v>
      </c>
      <c r="G50" s="41">
        <f t="shared" si="5"/>
        <v>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46" t="s">
        <v>75</v>
      </c>
      <c r="C51" s="38" t="s">
        <v>73</v>
      </c>
      <c r="D51" s="39" t="s">
        <v>50</v>
      </c>
      <c r="E51" s="40">
        <v>1</v>
      </c>
      <c r="F51" s="22">
        <v>4</v>
      </c>
      <c r="G51" s="41">
        <f t="shared" si="5"/>
        <v>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46" t="s">
        <v>76</v>
      </c>
      <c r="C52" s="38" t="s">
        <v>73</v>
      </c>
      <c r="D52" s="39" t="s">
        <v>50</v>
      </c>
      <c r="E52" s="40">
        <v>0.5</v>
      </c>
      <c r="F52" s="22">
        <v>3</v>
      </c>
      <c r="G52" s="41">
        <f t="shared" si="5"/>
        <v>1.5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 x14ac:dyDescent="0.25">
      <c r="A53" s="1"/>
      <c r="B53" s="46" t="s">
        <v>77</v>
      </c>
      <c r="C53" s="38" t="s">
        <v>78</v>
      </c>
      <c r="D53" s="39" t="s">
        <v>50</v>
      </c>
      <c r="E53" s="40">
        <v>1</v>
      </c>
      <c r="F53" s="22">
        <v>5</v>
      </c>
      <c r="G53" s="41">
        <f t="shared" si="5"/>
        <v>5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46" t="s">
        <v>79</v>
      </c>
      <c r="C54" s="38" t="s">
        <v>80</v>
      </c>
      <c r="D54" s="39" t="s">
        <v>50</v>
      </c>
      <c r="E54" s="40">
        <v>2</v>
      </c>
      <c r="F54" s="22">
        <v>4</v>
      </c>
      <c r="G54" s="41">
        <f t="shared" si="5"/>
        <v>8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46" t="s">
        <v>81</v>
      </c>
      <c r="C55" s="38" t="s">
        <v>82</v>
      </c>
      <c r="D55" s="39" t="s">
        <v>50</v>
      </c>
      <c r="E55" s="40">
        <v>-1</v>
      </c>
      <c r="F55" s="22">
        <v>4</v>
      </c>
      <c r="G55" s="41">
        <f t="shared" si="5"/>
        <v>-4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46" t="s">
        <v>83</v>
      </c>
      <c r="C56" s="38" t="s">
        <v>84</v>
      </c>
      <c r="D56" s="39" t="s">
        <v>50</v>
      </c>
      <c r="E56" s="40">
        <v>-1</v>
      </c>
      <c r="F56" s="22">
        <v>4</v>
      </c>
      <c r="G56" s="41">
        <f t="shared" si="5"/>
        <v>-4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.75" customHeight="1" x14ac:dyDescent="0.25">
      <c r="A57" s="1"/>
      <c r="B57" s="74" t="s">
        <v>85</v>
      </c>
      <c r="C57" s="75"/>
      <c r="D57" s="75"/>
      <c r="E57" s="75"/>
      <c r="F57" s="76"/>
      <c r="G57" s="16">
        <f>SUM(G49:G56)</f>
        <v>16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.75" customHeight="1" x14ac:dyDescent="0.25">
      <c r="A58" s="1"/>
      <c r="B58" s="74" t="s">
        <v>86</v>
      </c>
      <c r="C58" s="75"/>
      <c r="D58" s="75"/>
      <c r="E58" s="75"/>
      <c r="F58" s="76"/>
      <c r="G58" s="16">
        <f>1.4 + (-0.03*G57)</f>
        <v>0.91999999999999993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.75" customHeight="1" x14ac:dyDescent="0.25">
      <c r="A59" s="1"/>
      <c r="B59" s="25"/>
      <c r="C59" s="47"/>
      <c r="D59" s="48"/>
      <c r="E59" s="47"/>
      <c r="F59" s="49" t="s">
        <v>87</v>
      </c>
      <c r="G59" s="16">
        <f>COUNTIF($F$49:$F$54,"&lt;3")+COUNTIF($F$55:$F$56,"&gt;3")</f>
        <v>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.75" customHeight="1" x14ac:dyDescent="0.25">
      <c r="A60" s="1"/>
      <c r="B60" s="27"/>
      <c r="C60" s="3"/>
      <c r="D60" s="3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.75" customHeight="1" x14ac:dyDescent="0.25">
      <c r="A61" s="1"/>
      <c r="B61" s="1"/>
      <c r="C61" s="1"/>
      <c r="D61" s="2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.75" customHeight="1" x14ac:dyDescent="0.25">
      <c r="A62" s="15" t="s">
        <v>88</v>
      </c>
      <c r="B62" s="77" t="s">
        <v>89</v>
      </c>
      <c r="C62" s="75"/>
      <c r="D62" s="75"/>
      <c r="E62" s="75"/>
      <c r="F62" s="76"/>
      <c r="G62" s="50">
        <f>F24*G45*G58</f>
        <v>35.645400000000002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.75" customHeight="1" x14ac:dyDescent="0.25">
      <c r="A63" s="1"/>
      <c r="B63" s="1"/>
      <c r="C63" s="1"/>
      <c r="D63" s="2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.75" customHeight="1" x14ac:dyDescent="0.25">
      <c r="A64" s="1"/>
      <c r="B64" s="1"/>
      <c r="C64" s="1"/>
      <c r="D64" s="2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51" t="s">
        <v>90</v>
      </c>
      <c r="B65" s="17" t="s">
        <v>91</v>
      </c>
      <c r="C65" s="17" t="s">
        <v>92</v>
      </c>
      <c r="D65" s="17" t="s">
        <v>93</v>
      </c>
      <c r="E65" s="3"/>
      <c r="F65" s="1"/>
      <c r="G65" s="17" t="s">
        <v>94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75" customHeight="1" x14ac:dyDescent="0.25">
      <c r="A66" s="1"/>
      <c r="B66" s="52">
        <v>20</v>
      </c>
      <c r="C66" s="52">
        <f>IF($G$59&gt;=5,36,IF(AND(G$59&gt;2,$G$59&lt;=4),28, IF(AND($G$59&gt;=0,$G$59&lt;=2),20,"error")))</f>
        <v>28</v>
      </c>
      <c r="D66" s="53">
        <f>IF($G$59&gt;=5,$G$66*(36/20),IF(AND($G$59&gt;2,$G$59&lt;=4),$G$66*(28/20), IF(AND($G$59&gt;=0,$G$59&lt;=2),$G$66,"error")))</f>
        <v>3.5</v>
      </c>
      <c r="E66" s="3"/>
      <c r="F66" s="1"/>
      <c r="G66" s="54">
        <v>2.5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.75" customHeight="1" x14ac:dyDescent="0.25">
      <c r="A67" s="1"/>
      <c r="B67" s="78" t="s">
        <v>95</v>
      </c>
      <c r="C67" s="75"/>
      <c r="D67" s="76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.75" customHeight="1" x14ac:dyDescent="0.25">
      <c r="A68" s="55" t="s">
        <v>96</v>
      </c>
      <c r="B68" s="52">
        <f t="shared" ref="B68:D68" si="6">$G$62*B66</f>
        <v>712.90800000000002</v>
      </c>
      <c r="C68" s="52">
        <f t="shared" si="6"/>
        <v>998.07120000000009</v>
      </c>
      <c r="D68" s="52">
        <f t="shared" si="6"/>
        <v>124.75890000000001</v>
      </c>
      <c r="E68" s="3"/>
      <c r="F68" s="1"/>
      <c r="G68" s="17" t="s">
        <v>97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.75" customHeight="1" x14ac:dyDescent="0.25">
      <c r="A69" s="55" t="s">
        <v>98</v>
      </c>
      <c r="B69" s="56">
        <f t="shared" ref="B69:C69" si="7">B68/(22*8)</f>
        <v>4.0506136363636367</v>
      </c>
      <c r="C69" s="56">
        <f t="shared" si="7"/>
        <v>5.670859090909091</v>
      </c>
      <c r="D69" s="57">
        <f>D68/(22*G69)</f>
        <v>1.4177147727272728</v>
      </c>
      <c r="E69" s="3"/>
      <c r="F69" s="1"/>
      <c r="G69" s="54">
        <v>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.75" customHeight="1" x14ac:dyDescent="0.25">
      <c r="A70" s="1"/>
      <c r="B70" s="1"/>
      <c r="C70" s="1"/>
      <c r="D70" s="2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.75" customHeight="1" x14ac:dyDescent="0.25">
      <c r="A71" s="1"/>
      <c r="B71" s="1"/>
      <c r="C71" s="1"/>
      <c r="D71" s="1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75" customHeight="1" x14ac:dyDescent="0.25">
      <c r="A72" s="15" t="s">
        <v>99</v>
      </c>
      <c r="B72" s="58" t="s">
        <v>100</v>
      </c>
      <c r="C72" s="59"/>
      <c r="D72" s="48"/>
      <c r="E72" s="47"/>
      <c r="F72" s="60"/>
      <c r="G72" s="6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75" customHeight="1" x14ac:dyDescent="0.25">
      <c r="A73" s="1"/>
      <c r="B73" s="37" t="s">
        <v>101</v>
      </c>
      <c r="C73" s="16" t="s">
        <v>102</v>
      </c>
      <c r="D73" s="50" t="s">
        <v>103</v>
      </c>
      <c r="E73" s="50" t="s">
        <v>104</v>
      </c>
      <c r="F73" s="50" t="s">
        <v>105</v>
      </c>
      <c r="G73" s="50" t="s">
        <v>106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75" customHeight="1" x14ac:dyDescent="0.25">
      <c r="A74" s="1"/>
      <c r="B74" s="61" t="s">
        <v>107</v>
      </c>
      <c r="C74" s="62">
        <v>0.4</v>
      </c>
      <c r="D74" s="56">
        <f t="shared" ref="D74:F74" si="8">$C74/$C$74*B$69</f>
        <v>4.0506136363636367</v>
      </c>
      <c r="E74" s="56">
        <f t="shared" si="8"/>
        <v>5.670859090909091</v>
      </c>
      <c r="F74" s="56">
        <f t="shared" si="8"/>
        <v>1.4177147727272728</v>
      </c>
      <c r="G74" s="56">
        <f>D68</f>
        <v>124.75890000000001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75" customHeight="1" x14ac:dyDescent="0.25">
      <c r="A75" s="1"/>
      <c r="B75" s="61" t="s">
        <v>108</v>
      </c>
      <c r="C75" s="62">
        <f>1-C74</f>
        <v>0.6</v>
      </c>
      <c r="D75" s="52">
        <f t="shared" ref="D75:F75" si="9">$C75/$C$74*B$69</f>
        <v>6.0759204545454537</v>
      </c>
      <c r="E75" s="52">
        <f t="shared" si="9"/>
        <v>8.5062886363636352</v>
      </c>
      <c r="F75" s="52">
        <f t="shared" si="9"/>
        <v>2.1265721590909088</v>
      </c>
      <c r="G75" s="52">
        <f>D68*1.5</f>
        <v>187.13835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.75" customHeight="1" x14ac:dyDescent="0.25">
      <c r="A76" s="1"/>
      <c r="B76" s="63"/>
      <c r="C76" s="62">
        <f>SUM(C74:C75)</f>
        <v>1</v>
      </c>
      <c r="D76" s="56">
        <f t="shared" ref="D76:F76" si="10">$C76/$C$74*B$69</f>
        <v>10.126534090909091</v>
      </c>
      <c r="E76" s="56">
        <f t="shared" si="10"/>
        <v>14.177147727272727</v>
      </c>
      <c r="F76" s="56">
        <f t="shared" si="10"/>
        <v>3.5442869318181818</v>
      </c>
      <c r="G76" s="56">
        <f>G74+G75</f>
        <v>311.89724999999999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75" customHeight="1" x14ac:dyDescent="0.25">
      <c r="A77" s="1"/>
      <c r="B77" s="1"/>
      <c r="C77" s="1"/>
      <c r="D77" s="2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.75" customHeight="1" x14ac:dyDescent="0.25">
      <c r="A78" s="15" t="s">
        <v>109</v>
      </c>
      <c r="B78" s="22">
        <v>4</v>
      </c>
      <c r="C78" s="1"/>
      <c r="D78" s="2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75" customHeight="1" x14ac:dyDescent="0.25">
      <c r="A79" s="1"/>
      <c r="B79" s="1"/>
      <c r="C79" s="1"/>
      <c r="D79" s="2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75" customHeight="1" x14ac:dyDescent="0.25">
      <c r="A80" s="15" t="s">
        <v>110</v>
      </c>
      <c r="B80" s="50" t="s">
        <v>111</v>
      </c>
      <c r="C80" s="50" t="s">
        <v>112</v>
      </c>
      <c r="D80" s="50" t="s">
        <v>113</v>
      </c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75" customHeight="1" x14ac:dyDescent="0.25">
      <c r="A81" s="64"/>
      <c r="B81" s="65">
        <f>$D$76/$B$78</f>
        <v>2.5316335227272728</v>
      </c>
      <c r="C81" s="65">
        <f>$E$76/$B$78</f>
        <v>3.5442869318181818</v>
      </c>
      <c r="D81" s="65">
        <f>$F$76/$B$78</f>
        <v>0.88607173295454544</v>
      </c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5.75" customHeight="1" x14ac:dyDescent="0.25">
      <c r="A82" s="64"/>
      <c r="B82" s="64"/>
      <c r="C82" s="64"/>
      <c r="D82" s="64"/>
      <c r="E82" s="66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15.75" customHeight="1" x14ac:dyDescent="0.25">
      <c r="A83" s="64"/>
      <c r="B83" s="64"/>
      <c r="C83" s="64"/>
      <c r="D83" s="64"/>
      <c r="E83" s="66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5.75" customHeight="1" x14ac:dyDescent="0.25">
      <c r="A84" s="67" t="s">
        <v>124</v>
      </c>
      <c r="B84" s="68" t="s">
        <v>125</v>
      </c>
      <c r="C84" s="68" t="s">
        <v>125</v>
      </c>
      <c r="D84" s="69" t="s">
        <v>125</v>
      </c>
      <c r="E84" s="70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5.75" customHeight="1" x14ac:dyDescent="0.25">
      <c r="A85" s="72">
        <v>45968</v>
      </c>
      <c r="B85" s="73">
        <f>EDATE(A85,INT(B81)) + (B81-INT(B81))*DAY(EDATE(A85,INT(B81)+1)-EDATE(A85,INT(B81)))</f>
        <v>46045.480639204543</v>
      </c>
      <c r="C85" s="73">
        <f>EDATE(A85,INT(C81)) + (C81-INT(C81))*DAY(EDATE(A85,INT(C81)+1)-EDATE(A85,INT(C81)))</f>
        <v>46075.240034090908</v>
      </c>
      <c r="D85" s="73">
        <f>EDATE(A85,INT(D81)) + (D81-INT(D81))*DAY(EDATE(A85,INT(D81)+1)-EDATE(A85,INT(D81)))</f>
        <v>45994.582151988638</v>
      </c>
      <c r="E85" s="70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5.75" customHeight="1" x14ac:dyDescent="0.25">
      <c r="A86" s="64"/>
      <c r="B86" s="64"/>
      <c r="C86" s="64"/>
      <c r="D86" s="64"/>
      <c r="E86" s="66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5.75" customHeight="1" x14ac:dyDescent="0.25">
      <c r="A87" s="64"/>
      <c r="B87" s="64"/>
      <c r="C87" s="64"/>
      <c r="D87" s="64"/>
      <c r="E87" s="66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5.75" customHeight="1" x14ac:dyDescent="0.25">
      <c r="A88" s="64"/>
      <c r="B88" s="64"/>
      <c r="C88" s="64"/>
      <c r="D88" s="64"/>
      <c r="E88" s="66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5.75" customHeight="1" x14ac:dyDescent="0.25">
      <c r="A89" s="64"/>
      <c r="B89" s="64"/>
      <c r="C89" s="64"/>
      <c r="D89" s="64"/>
      <c r="E89" s="66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5.75" customHeight="1" x14ac:dyDescent="0.25">
      <c r="A90" s="64"/>
      <c r="B90" s="64"/>
      <c r="C90" s="64"/>
      <c r="D90" s="64"/>
      <c r="E90" s="66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5.75" customHeight="1" x14ac:dyDescent="0.25">
      <c r="A91" s="64"/>
      <c r="B91" s="64"/>
      <c r="C91" s="64"/>
      <c r="D91" s="64"/>
      <c r="E91" s="66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5.75" customHeight="1" x14ac:dyDescent="0.25">
      <c r="A92" s="64"/>
      <c r="B92" s="64"/>
      <c r="C92" s="64"/>
      <c r="D92" s="64"/>
      <c r="E92" s="66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5.75" customHeight="1" x14ac:dyDescent="0.25">
      <c r="A93" s="64"/>
      <c r="B93" s="64"/>
      <c r="C93" s="64"/>
      <c r="D93" s="64"/>
      <c r="E93" s="66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5.75" customHeight="1" x14ac:dyDescent="0.25">
      <c r="A94" s="64"/>
      <c r="B94" s="64"/>
      <c r="C94" s="64"/>
      <c r="D94" s="64"/>
      <c r="E94" s="66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5.75" customHeight="1" x14ac:dyDescent="0.25">
      <c r="A95" s="64"/>
      <c r="B95" s="64"/>
      <c r="C95" s="64"/>
      <c r="D95" s="64"/>
      <c r="E95" s="66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5.75" customHeight="1" x14ac:dyDescent="0.25">
      <c r="A96" s="64"/>
      <c r="B96" s="64"/>
      <c r="C96" s="64"/>
      <c r="D96" s="64"/>
      <c r="E96" s="66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5.75" customHeight="1" x14ac:dyDescent="0.25">
      <c r="A97" s="64"/>
      <c r="B97" s="64"/>
      <c r="C97" s="64"/>
      <c r="D97" s="64"/>
      <c r="E97" s="66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5.75" customHeight="1" x14ac:dyDescent="0.25">
      <c r="A98" s="1"/>
      <c r="B98" s="1"/>
      <c r="C98" s="1"/>
      <c r="D98" s="2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2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2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2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2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2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2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0">
    <mergeCell ref="B58:F58"/>
    <mergeCell ref="B62:F62"/>
    <mergeCell ref="B67:D67"/>
    <mergeCell ref="B2:G2"/>
    <mergeCell ref="C13:F13"/>
    <mergeCell ref="C20:E20"/>
    <mergeCell ref="C24:E24"/>
    <mergeCell ref="B44:F44"/>
    <mergeCell ref="B45:F45"/>
    <mergeCell ref="B57:F57"/>
  </mergeCells>
  <dataValidations disablePrompts="1" count="2">
    <dataValidation type="list" allowBlank="1" showErrorMessage="1" sqref="C8:C12" xr:uid="{00000000-0002-0000-0000-000000000000}">
      <formula1>"Simple,Intermedio,Complejo"</formula1>
    </dataValidation>
    <dataValidation type="decimal" allowBlank="1" showInputMessage="1" showErrorMessage="1" prompt="Entre 1 y 9 personas." sqref="B78" xr:uid="{00000000-0002-0000-0000-000001000000}">
      <formula1>1</formula1>
      <formula2>9</formula2>
    </dataValidation>
  </dataValidations>
  <hyperlinks>
    <hyperlink ref="H31" r:id="rId1" location="v=onepage&amp;q=e7%20part-time%20members&amp;f=false" xr:uid="{00000000-0004-0000-0000-000000000000}"/>
    <hyperlink ref="H49" r:id="rId2" location="v=onepage&amp;q=e7%20part-time%20members&amp;f=false" xr:uid="{00000000-0004-0000-0000-000001000000}"/>
  </hyperlinks>
  <pageMargins left="0.75" right="0.75" top="1" bottom="1" header="0" footer="0"/>
  <pageSetup orientation="portrait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topLeftCell="A70" zoomScale="85" zoomScaleNormal="85" workbookViewId="0">
      <selection activeCell="H57" sqref="H57"/>
    </sheetView>
  </sheetViews>
  <sheetFormatPr baseColWidth="10" defaultColWidth="12.6640625" defaultRowHeight="15" customHeight="1" x14ac:dyDescent="0.25"/>
  <cols>
    <col min="1" max="1" width="27.6640625" customWidth="1"/>
    <col min="2" max="2" width="51.109375" customWidth="1"/>
    <col min="3" max="3" width="42.6640625" customWidth="1"/>
    <col min="4" max="4" width="38.6640625" customWidth="1"/>
    <col min="5" max="5" width="13.6640625" customWidth="1"/>
    <col min="6" max="6" width="16.109375" customWidth="1"/>
    <col min="7" max="7" width="16.6640625" customWidth="1"/>
    <col min="8" max="8" width="34.33203125" customWidth="1"/>
    <col min="9" max="9" width="10.6640625" customWidth="1"/>
    <col min="10" max="10" width="13.6640625" customWidth="1"/>
    <col min="11" max="26" width="9.109375" customWidth="1"/>
  </cols>
  <sheetData>
    <row r="1" spans="1:26" ht="27.75" customHeight="1" x14ac:dyDescent="0.25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x14ac:dyDescent="0.25">
      <c r="A2" s="4"/>
      <c r="B2" s="79" t="s">
        <v>0</v>
      </c>
      <c r="C2" s="75"/>
      <c r="D2" s="75"/>
      <c r="E2" s="75"/>
      <c r="F2" s="75"/>
      <c r="G2" s="76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75" customHeight="1" x14ac:dyDescent="0.25">
      <c r="A3" s="4"/>
      <c r="B3" s="6" t="s">
        <v>1</v>
      </c>
      <c r="C3" s="4" t="s">
        <v>2</v>
      </c>
      <c r="D3" s="7"/>
      <c r="E3" s="7"/>
      <c r="F3" s="7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75" customHeight="1" x14ac:dyDescent="0.25">
      <c r="A4" s="4"/>
      <c r="B4" s="9" t="s">
        <v>3</v>
      </c>
      <c r="C4" s="10" t="s">
        <v>4</v>
      </c>
      <c r="D4" s="11"/>
      <c r="E4" s="11"/>
      <c r="F4" s="11"/>
      <c r="G4" s="12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75" customHeight="1" x14ac:dyDescent="0.25">
      <c r="A5" s="1"/>
      <c r="B5" s="13"/>
      <c r="C5" s="1"/>
      <c r="D5" s="14"/>
      <c r="E5" s="14"/>
      <c r="F5" s="14"/>
      <c r="G5" s="14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75" customHeight="1" x14ac:dyDescent="0.25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5" t="s">
        <v>5</v>
      </c>
      <c r="B7" s="16" t="s">
        <v>6</v>
      </c>
      <c r="C7" s="17" t="s">
        <v>7</v>
      </c>
      <c r="D7" s="17" t="s">
        <v>8</v>
      </c>
      <c r="E7" s="16" t="s">
        <v>9</v>
      </c>
      <c r="F7" s="16" t="s">
        <v>10</v>
      </c>
      <c r="G7" s="16" t="s">
        <v>11</v>
      </c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7.75" customHeight="1" x14ac:dyDescent="0.25">
      <c r="A8" s="1"/>
      <c r="B8" s="18" t="s">
        <v>12</v>
      </c>
      <c r="C8" s="19" t="s">
        <v>13</v>
      </c>
      <c r="D8" s="20" t="s">
        <v>14</v>
      </c>
      <c r="E8" s="21">
        <f t="shared" ref="E8:E12" si="0">IF(C8="Simple",1,IF(C8="Intermedio",2,IF(C8="Complejo",3,"error")))</f>
        <v>3</v>
      </c>
      <c r="F8" s="22">
        <v>1</v>
      </c>
      <c r="G8" s="21">
        <f t="shared" ref="G8:G12" si="1">E8*F8</f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5" customHeight="1" x14ac:dyDescent="0.25">
      <c r="A9" s="1"/>
      <c r="B9" s="18" t="s">
        <v>15</v>
      </c>
      <c r="C9" s="19" t="s">
        <v>13</v>
      </c>
      <c r="D9" s="23" t="s">
        <v>16</v>
      </c>
      <c r="E9" s="21">
        <f t="shared" si="0"/>
        <v>3</v>
      </c>
      <c r="F9" s="22">
        <v>3</v>
      </c>
      <c r="G9" s="21">
        <f t="shared" si="1"/>
        <v>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75" customHeight="1" x14ac:dyDescent="0.25">
      <c r="A10" s="1"/>
      <c r="B10" s="18" t="s">
        <v>17</v>
      </c>
      <c r="C10" s="19" t="s">
        <v>18</v>
      </c>
      <c r="D10" s="23" t="s">
        <v>19</v>
      </c>
      <c r="E10" s="21">
        <f t="shared" si="0"/>
        <v>2</v>
      </c>
      <c r="F10" s="22">
        <v>1</v>
      </c>
      <c r="G10" s="21">
        <f t="shared" si="1"/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 x14ac:dyDescent="0.25">
      <c r="A11" s="1"/>
      <c r="B11" s="18" t="s">
        <v>20</v>
      </c>
      <c r="C11" s="19" t="s">
        <v>21</v>
      </c>
      <c r="D11" s="23" t="s">
        <v>22</v>
      </c>
      <c r="E11" s="21">
        <f t="shared" si="0"/>
        <v>1</v>
      </c>
      <c r="F11" s="22">
        <v>1</v>
      </c>
      <c r="G11" s="21">
        <f t="shared" si="1"/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 x14ac:dyDescent="0.25">
      <c r="A12" s="1"/>
      <c r="B12" s="18" t="s">
        <v>23</v>
      </c>
      <c r="C12" s="19" t="s">
        <v>21</v>
      </c>
      <c r="D12" s="23" t="s">
        <v>24</v>
      </c>
      <c r="E12" s="21">
        <f t="shared" si="0"/>
        <v>1</v>
      </c>
      <c r="F12" s="22">
        <v>1</v>
      </c>
      <c r="G12" s="21">
        <f t="shared" si="1"/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75" customHeight="1" x14ac:dyDescent="0.25">
      <c r="A13" s="1"/>
      <c r="B13" s="24"/>
      <c r="C13" s="74" t="s">
        <v>25</v>
      </c>
      <c r="D13" s="75"/>
      <c r="E13" s="75"/>
      <c r="F13" s="76"/>
      <c r="G13" s="26">
        <f>SUM(G8:G12)</f>
        <v>16</v>
      </c>
      <c r="H13" s="1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75" customHeight="1" x14ac:dyDescent="0.25">
      <c r="A14" s="1"/>
      <c r="B14" s="15"/>
      <c r="C14" s="27" t="s">
        <v>26</v>
      </c>
      <c r="D14" s="3"/>
      <c r="E14" s="3"/>
      <c r="F14" s="3"/>
      <c r="G14" s="28"/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75" customHeight="1" x14ac:dyDescent="0.25">
      <c r="A15" s="1"/>
      <c r="B15" s="15"/>
      <c r="C15" s="29"/>
      <c r="D15" s="29"/>
      <c r="E15" s="30"/>
      <c r="F15" s="15"/>
      <c r="G15" s="15"/>
      <c r="H15" s="1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75" customHeight="1" x14ac:dyDescent="0.25">
      <c r="A16" s="15" t="s">
        <v>27</v>
      </c>
      <c r="B16" s="16" t="s">
        <v>28</v>
      </c>
      <c r="C16" s="16" t="s">
        <v>29</v>
      </c>
      <c r="D16" s="17" t="s">
        <v>30</v>
      </c>
      <c r="E16" s="17" t="s">
        <v>31</v>
      </c>
      <c r="F16" s="16" t="s">
        <v>9</v>
      </c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1"/>
      <c r="U16" s="1"/>
      <c r="V16" s="1"/>
      <c r="W16" s="1"/>
      <c r="X16" s="1"/>
      <c r="Y16" s="1"/>
      <c r="Z16" s="1"/>
    </row>
    <row r="17" spans="1:26" ht="27.75" customHeight="1" x14ac:dyDescent="0.25">
      <c r="A17" s="1"/>
      <c r="B17" s="32" t="s">
        <v>33</v>
      </c>
      <c r="C17" s="33" t="s">
        <v>34</v>
      </c>
      <c r="D17" s="33">
        <v>4</v>
      </c>
      <c r="E17" s="34" t="str">
        <f t="shared" ref="E17:E19" si="2">IF($D17&gt;0,IF($D17&lt;=3,"Simple",IF(AND($D17&gt;3,$D17&lt;7),"Intermedio",IF($D17&gt;=7,"Complejo","error"))),"-")</f>
        <v>Intermedio</v>
      </c>
      <c r="F17" s="21">
        <f t="shared" ref="F17:F19" si="3">IF($D17&gt;0,IF($D17&lt;=3,5,IF(AND($D17&gt;3,$D17&lt;7),10,IF($D17&gt;=7,15,"error"))),0)</f>
        <v>10</v>
      </c>
      <c r="G17" s="1"/>
      <c r="H17" s="1"/>
      <c r="I17" s="1"/>
      <c r="J17" s="1"/>
      <c r="K17" s="31"/>
      <c r="L17" s="1"/>
      <c r="M17" s="1"/>
      <c r="N17" s="1"/>
      <c r="O17" s="1"/>
      <c r="P17" s="1"/>
      <c r="Q17" s="1"/>
      <c r="R17" s="1"/>
      <c r="S17" s="1"/>
      <c r="T17" s="31"/>
      <c r="U17" s="1"/>
      <c r="V17" s="1"/>
      <c r="W17" s="1"/>
      <c r="X17" s="1"/>
      <c r="Y17" s="1"/>
      <c r="Z17" s="1"/>
    </row>
    <row r="18" spans="1:26" ht="27.75" customHeight="1" x14ac:dyDescent="0.25">
      <c r="A18" s="1"/>
      <c r="B18" s="32" t="s">
        <v>35</v>
      </c>
      <c r="C18" s="33" t="s">
        <v>36</v>
      </c>
      <c r="D18" s="33">
        <v>4</v>
      </c>
      <c r="E18" s="34" t="str">
        <f t="shared" si="2"/>
        <v>Intermedio</v>
      </c>
      <c r="F18" s="21">
        <f t="shared" si="3"/>
        <v>10</v>
      </c>
      <c r="G18" s="1"/>
      <c r="H18" s="1"/>
      <c r="I18" s="1"/>
      <c r="J18" s="1"/>
      <c r="K18" s="31"/>
      <c r="L18" s="1"/>
      <c r="M18" s="1"/>
      <c r="N18" s="1"/>
      <c r="O18" s="1"/>
      <c r="P18" s="1"/>
      <c r="Q18" s="1"/>
      <c r="R18" s="1"/>
      <c r="S18" s="1"/>
      <c r="T18" s="31"/>
      <c r="U18" s="1"/>
      <c r="V18" s="1"/>
      <c r="W18" s="1"/>
      <c r="X18" s="1"/>
      <c r="Y18" s="1"/>
      <c r="Z18" s="1"/>
    </row>
    <row r="19" spans="1:26" ht="27.75" customHeight="1" x14ac:dyDescent="0.25">
      <c r="A19" s="1"/>
      <c r="B19" s="32" t="s">
        <v>37</v>
      </c>
      <c r="C19" s="33" t="s">
        <v>32</v>
      </c>
      <c r="D19" s="33">
        <v>3</v>
      </c>
      <c r="E19" s="34" t="str">
        <f t="shared" si="2"/>
        <v>Simple</v>
      </c>
      <c r="F19" s="21">
        <f t="shared" si="3"/>
        <v>5</v>
      </c>
      <c r="G19" s="1"/>
      <c r="H19" s="1"/>
      <c r="I19" s="1"/>
      <c r="J19" s="1"/>
      <c r="K19" s="31"/>
      <c r="L19" s="1"/>
      <c r="M19" s="1"/>
      <c r="N19" s="1"/>
      <c r="O19" s="1"/>
      <c r="P19" s="1"/>
      <c r="Q19" s="1"/>
      <c r="R19" s="1"/>
      <c r="S19" s="1"/>
      <c r="T19" s="31"/>
      <c r="U19" s="1"/>
      <c r="V19" s="1"/>
      <c r="W19" s="1"/>
      <c r="X19" s="1"/>
      <c r="Y19" s="1"/>
      <c r="Z19" s="1"/>
    </row>
    <row r="20" spans="1:26" ht="27.75" customHeight="1" x14ac:dyDescent="0.25">
      <c r="A20" s="1"/>
      <c r="B20" s="35"/>
      <c r="C20" s="80" t="s">
        <v>38</v>
      </c>
      <c r="D20" s="81"/>
      <c r="E20" s="82"/>
      <c r="F20" s="36">
        <f>SUM(F17:F19)</f>
        <v>25</v>
      </c>
      <c r="G20" s="1"/>
      <c r="H20" s="1"/>
      <c r="I20" s="1"/>
      <c r="J20" s="1"/>
      <c r="K20" s="31"/>
      <c r="L20" s="1"/>
      <c r="M20" s="1"/>
      <c r="N20" s="1"/>
      <c r="O20" s="1"/>
      <c r="P20" s="1"/>
      <c r="Q20" s="1"/>
      <c r="R20" s="1"/>
      <c r="S20" s="1"/>
      <c r="T20" s="31"/>
      <c r="U20" s="1"/>
      <c r="V20" s="1"/>
      <c r="W20" s="1"/>
      <c r="X20" s="1"/>
      <c r="Y20" s="1"/>
      <c r="Z20" s="1"/>
    </row>
    <row r="21" spans="1:26" ht="27.75" customHeight="1" x14ac:dyDescent="0.25">
      <c r="A21" s="1"/>
      <c r="G21" s="1"/>
      <c r="H21" s="1"/>
      <c r="I21" s="1"/>
      <c r="J21" s="1"/>
      <c r="K21" s="31"/>
      <c r="L21" s="1"/>
      <c r="M21" s="1"/>
      <c r="N21" s="1"/>
      <c r="O21" s="1"/>
      <c r="P21" s="1"/>
      <c r="Q21" s="1"/>
      <c r="R21" s="1"/>
      <c r="S21" s="1"/>
      <c r="T21" s="31"/>
      <c r="U21" s="1"/>
      <c r="V21" s="1"/>
      <c r="W21" s="1"/>
      <c r="X21" s="1"/>
      <c r="Y21" s="1"/>
      <c r="Z21" s="1"/>
    </row>
    <row r="22" spans="1:26" ht="27.75" customHeight="1" x14ac:dyDescent="0.25">
      <c r="A22" s="1"/>
      <c r="G22" s="1"/>
      <c r="H22" s="1"/>
      <c r="I22" s="1"/>
      <c r="J22" s="1"/>
      <c r="K22" s="31"/>
      <c r="L22" s="1"/>
      <c r="M22" s="1"/>
      <c r="N22" s="1"/>
      <c r="O22" s="1"/>
      <c r="P22" s="1"/>
      <c r="Q22" s="1"/>
      <c r="R22" s="1"/>
      <c r="S22" s="1"/>
      <c r="T22" s="31"/>
      <c r="U22" s="1"/>
      <c r="V22" s="1"/>
      <c r="W22" s="1"/>
      <c r="X22" s="1"/>
      <c r="Y22" s="1"/>
      <c r="Z22" s="1"/>
    </row>
    <row r="23" spans="1:26" ht="27.75" customHeight="1" x14ac:dyDescent="0.25">
      <c r="A23" s="1"/>
      <c r="G23" s="1"/>
      <c r="H23" s="1"/>
      <c r="I23" s="1"/>
      <c r="J23" s="1"/>
      <c r="K23" s="31"/>
      <c r="L23" s="1"/>
      <c r="M23" s="1"/>
      <c r="N23" s="1"/>
      <c r="O23" s="1"/>
      <c r="P23" s="1"/>
      <c r="Q23" s="1"/>
      <c r="R23" s="1"/>
      <c r="S23" s="1"/>
      <c r="T23" s="31"/>
      <c r="U23" s="1"/>
      <c r="V23" s="1"/>
      <c r="W23" s="1"/>
      <c r="X23" s="1"/>
      <c r="Y23" s="1"/>
      <c r="Z23" s="1"/>
    </row>
    <row r="24" spans="1:26" ht="27.75" customHeight="1" x14ac:dyDescent="0.25">
      <c r="A24" s="15" t="s">
        <v>39</v>
      </c>
      <c r="B24" s="37"/>
      <c r="C24" s="74" t="s">
        <v>114</v>
      </c>
      <c r="D24" s="75"/>
      <c r="E24" s="76"/>
      <c r="F24" s="26">
        <f>G13+F20</f>
        <v>41</v>
      </c>
      <c r="G24" s="1"/>
      <c r="H24" s="15"/>
      <c r="I24" s="1"/>
      <c r="J24" s="1"/>
      <c r="K24" s="3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.75" customHeight="1" x14ac:dyDescent="0.25">
      <c r="A25" s="1"/>
      <c r="B25" s="1"/>
      <c r="C25" s="1"/>
      <c r="D25" s="2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.75" customHeight="1" x14ac:dyDescent="0.25">
      <c r="A26" s="1"/>
      <c r="B26" s="1"/>
      <c r="C26" s="1"/>
      <c r="D26" s="2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.75" customHeight="1" x14ac:dyDescent="0.25">
      <c r="G27" s="1"/>
      <c r="H27" s="1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.75" customHeight="1" x14ac:dyDescent="0.25">
      <c r="A28" s="1"/>
      <c r="B28" s="1"/>
      <c r="C28" s="1"/>
      <c r="D28" s="2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.75" customHeight="1" x14ac:dyDescent="0.25">
      <c r="A29" s="1"/>
      <c r="B29" s="3"/>
      <c r="C29" s="1"/>
      <c r="D29" s="2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.75" customHeight="1" x14ac:dyDescent="0.25">
      <c r="A30" s="15" t="s">
        <v>41</v>
      </c>
      <c r="B30" s="17" t="s">
        <v>42</v>
      </c>
      <c r="C30" s="17" t="s">
        <v>43</v>
      </c>
      <c r="D30" s="16" t="s">
        <v>44</v>
      </c>
      <c r="E30" s="16" t="s">
        <v>9</v>
      </c>
      <c r="F30" s="16" t="s">
        <v>45</v>
      </c>
      <c r="G30" s="16" t="s">
        <v>46</v>
      </c>
      <c r="H30" s="1" t="s">
        <v>47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27.75" customHeight="1" x14ac:dyDescent="0.25">
      <c r="A31" s="1"/>
      <c r="B31" s="38" t="s">
        <v>48</v>
      </c>
      <c r="C31" s="38" t="s">
        <v>49</v>
      </c>
      <c r="D31" s="39" t="s">
        <v>50</v>
      </c>
      <c r="E31" s="40" t="s">
        <v>51</v>
      </c>
      <c r="F31" s="22">
        <v>0</v>
      </c>
      <c r="G31" s="41">
        <f t="shared" ref="G31:G43" si="4">E31*F31</f>
        <v>0</v>
      </c>
      <c r="H31" s="42" t="s">
        <v>52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38" t="s">
        <v>53</v>
      </c>
      <c r="C32" s="38" t="s">
        <v>49</v>
      </c>
      <c r="D32" s="39" t="s">
        <v>50</v>
      </c>
      <c r="E32" s="41">
        <v>2</v>
      </c>
      <c r="F32" s="22">
        <v>3</v>
      </c>
      <c r="G32" s="41">
        <f t="shared" si="4"/>
        <v>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75" customHeight="1" x14ac:dyDescent="0.25">
      <c r="A33" s="1"/>
      <c r="B33" s="38" t="s">
        <v>54</v>
      </c>
      <c r="C33" s="38" t="s">
        <v>49</v>
      </c>
      <c r="D33" s="39" t="s">
        <v>50</v>
      </c>
      <c r="E33" s="41">
        <v>1</v>
      </c>
      <c r="F33" s="22">
        <v>5</v>
      </c>
      <c r="G33" s="41">
        <f t="shared" si="4"/>
        <v>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38" t="s">
        <v>55</v>
      </c>
      <c r="C34" s="38" t="s">
        <v>49</v>
      </c>
      <c r="D34" s="39" t="s">
        <v>50</v>
      </c>
      <c r="E34" s="41">
        <v>1</v>
      </c>
      <c r="F34" s="22">
        <v>4</v>
      </c>
      <c r="G34" s="41">
        <f t="shared" si="4"/>
        <v>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.75" customHeight="1" x14ac:dyDescent="0.25">
      <c r="A35" s="1"/>
      <c r="B35" s="38" t="s">
        <v>56</v>
      </c>
      <c r="C35" s="38" t="s">
        <v>49</v>
      </c>
      <c r="D35" s="39" t="s">
        <v>50</v>
      </c>
      <c r="E35" s="40">
        <v>1</v>
      </c>
      <c r="F35" s="22">
        <v>2</v>
      </c>
      <c r="G35" s="41">
        <f t="shared" si="4"/>
        <v>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.75" customHeight="1" x14ac:dyDescent="0.25">
      <c r="A36" s="1"/>
      <c r="B36" s="38" t="s">
        <v>57</v>
      </c>
      <c r="C36" s="38" t="s">
        <v>49</v>
      </c>
      <c r="D36" s="39" t="s">
        <v>50</v>
      </c>
      <c r="E36" s="40">
        <v>0.5</v>
      </c>
      <c r="F36" s="22">
        <v>2</v>
      </c>
      <c r="G36" s="41">
        <f t="shared" si="4"/>
        <v>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.75" customHeight="1" x14ac:dyDescent="0.25">
      <c r="A37" s="1"/>
      <c r="B37" s="38" t="s">
        <v>58</v>
      </c>
      <c r="C37" s="38" t="s">
        <v>49</v>
      </c>
      <c r="D37" s="39" t="s">
        <v>50</v>
      </c>
      <c r="E37" s="40">
        <v>0.5</v>
      </c>
      <c r="F37" s="22">
        <v>3</v>
      </c>
      <c r="G37" s="41">
        <f t="shared" si="4"/>
        <v>1.5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5">
      <c r="A38" s="1"/>
      <c r="B38" s="38" t="s">
        <v>59</v>
      </c>
      <c r="C38" s="38" t="s">
        <v>49</v>
      </c>
      <c r="D38" s="39" t="s">
        <v>50</v>
      </c>
      <c r="E38" s="40">
        <v>2</v>
      </c>
      <c r="F38" s="22">
        <v>1</v>
      </c>
      <c r="G38" s="41">
        <f t="shared" si="4"/>
        <v>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.75" customHeight="1" x14ac:dyDescent="0.25">
      <c r="A39" s="1"/>
      <c r="B39" s="38" t="s">
        <v>60</v>
      </c>
      <c r="C39" s="38" t="s">
        <v>49</v>
      </c>
      <c r="D39" s="39" t="s">
        <v>50</v>
      </c>
      <c r="E39" s="40">
        <v>1</v>
      </c>
      <c r="F39" s="22">
        <v>2</v>
      </c>
      <c r="G39" s="41">
        <f t="shared" si="4"/>
        <v>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.75" customHeight="1" x14ac:dyDescent="0.25">
      <c r="A40" s="1"/>
      <c r="B40" s="38" t="s">
        <v>61</v>
      </c>
      <c r="C40" s="38" t="s">
        <v>49</v>
      </c>
      <c r="D40" s="39" t="s">
        <v>50</v>
      </c>
      <c r="E40" s="40">
        <v>1</v>
      </c>
      <c r="F40" s="22">
        <v>4</v>
      </c>
      <c r="G40" s="41">
        <f t="shared" si="4"/>
        <v>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38" t="s">
        <v>62</v>
      </c>
      <c r="C41" s="38" t="s">
        <v>49</v>
      </c>
      <c r="D41" s="39" t="s">
        <v>50</v>
      </c>
      <c r="E41" s="41">
        <v>1</v>
      </c>
      <c r="F41" s="22">
        <v>3</v>
      </c>
      <c r="G41" s="41">
        <f t="shared" si="4"/>
        <v>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38" t="s">
        <v>63</v>
      </c>
      <c r="C42" s="38" t="s">
        <v>49</v>
      </c>
      <c r="D42" s="39" t="s">
        <v>50</v>
      </c>
      <c r="E42" s="41">
        <v>1</v>
      </c>
      <c r="F42" s="22">
        <v>2</v>
      </c>
      <c r="G42" s="41">
        <f t="shared" si="4"/>
        <v>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38" t="s">
        <v>64</v>
      </c>
      <c r="C43" s="38" t="s">
        <v>49</v>
      </c>
      <c r="D43" s="39" t="s">
        <v>50</v>
      </c>
      <c r="E43" s="40">
        <v>1</v>
      </c>
      <c r="F43" s="22">
        <v>2</v>
      </c>
      <c r="G43" s="41">
        <f t="shared" si="4"/>
        <v>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.75" customHeight="1" x14ac:dyDescent="0.25">
      <c r="A44" s="1"/>
      <c r="B44" s="74" t="s">
        <v>115</v>
      </c>
      <c r="C44" s="75"/>
      <c r="D44" s="75"/>
      <c r="E44" s="75"/>
      <c r="F44" s="76"/>
      <c r="G44" s="43">
        <f>SUM(G31:G43)</f>
        <v>34.5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75" customHeight="1" x14ac:dyDescent="0.25">
      <c r="A45" s="1"/>
      <c r="B45" s="74" t="s">
        <v>116</v>
      </c>
      <c r="C45" s="75"/>
      <c r="D45" s="75"/>
      <c r="E45" s="75"/>
      <c r="F45" s="76"/>
      <c r="G45" s="36">
        <f>0.6+(0.01*G44)</f>
        <v>0.94500000000000006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.75" customHeight="1" x14ac:dyDescent="0.25">
      <c r="A46" s="1"/>
      <c r="B46" s="27"/>
      <c r="C46" s="3"/>
      <c r="D46" s="3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.75" customHeight="1" x14ac:dyDescent="0.25">
      <c r="A47" s="1"/>
      <c r="B47" s="44"/>
      <c r="C47" s="44"/>
      <c r="D47" s="45"/>
      <c r="E47" s="44"/>
      <c r="F47" s="44"/>
      <c r="G47" s="4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5" t="s">
        <v>67</v>
      </c>
      <c r="B48" s="17" t="s">
        <v>68</v>
      </c>
      <c r="C48" s="17" t="s">
        <v>69</v>
      </c>
      <c r="D48" s="16" t="s">
        <v>70</v>
      </c>
      <c r="E48" s="16" t="s">
        <v>9</v>
      </c>
      <c r="F48" s="16" t="s">
        <v>45</v>
      </c>
      <c r="G48" s="16" t="s">
        <v>46</v>
      </c>
      <c r="H48" s="1" t="s">
        <v>71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25">
      <c r="A49" s="1"/>
      <c r="B49" s="46" t="s">
        <v>72</v>
      </c>
      <c r="C49" s="38" t="s">
        <v>73</v>
      </c>
      <c r="D49" s="39" t="s">
        <v>50</v>
      </c>
      <c r="E49" s="40">
        <v>1.5</v>
      </c>
      <c r="F49" s="22">
        <v>3</v>
      </c>
      <c r="G49" s="41">
        <f t="shared" ref="G49:G56" si="5">E49*F49</f>
        <v>4.5</v>
      </c>
      <c r="H49" s="42" t="s">
        <v>52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46" t="s">
        <v>74</v>
      </c>
      <c r="C50" s="38" t="s">
        <v>73</v>
      </c>
      <c r="D50" s="39" t="s">
        <v>50</v>
      </c>
      <c r="E50" s="40">
        <v>0.5</v>
      </c>
      <c r="F50" s="22">
        <v>2</v>
      </c>
      <c r="G50" s="41">
        <f t="shared" si="5"/>
        <v>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46" t="s">
        <v>75</v>
      </c>
      <c r="C51" s="38" t="s">
        <v>73</v>
      </c>
      <c r="D51" s="39" t="s">
        <v>50</v>
      </c>
      <c r="E51" s="40">
        <v>1</v>
      </c>
      <c r="F51" s="22">
        <v>4</v>
      </c>
      <c r="G51" s="41">
        <f t="shared" si="5"/>
        <v>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46" t="s">
        <v>76</v>
      </c>
      <c r="C52" s="38" t="s">
        <v>73</v>
      </c>
      <c r="D52" s="39" t="s">
        <v>50</v>
      </c>
      <c r="E52" s="40">
        <v>0.5</v>
      </c>
      <c r="F52" s="22">
        <v>3</v>
      </c>
      <c r="G52" s="41">
        <f t="shared" si="5"/>
        <v>1.5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 x14ac:dyDescent="0.25">
      <c r="A53" s="1"/>
      <c r="B53" s="46" t="s">
        <v>77</v>
      </c>
      <c r="C53" s="38" t="s">
        <v>78</v>
      </c>
      <c r="D53" s="39" t="s">
        <v>50</v>
      </c>
      <c r="E53" s="40">
        <v>1</v>
      </c>
      <c r="F53" s="22">
        <v>2</v>
      </c>
      <c r="G53" s="41">
        <f t="shared" si="5"/>
        <v>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46" t="s">
        <v>79</v>
      </c>
      <c r="C54" s="38" t="s">
        <v>80</v>
      </c>
      <c r="D54" s="39" t="s">
        <v>50</v>
      </c>
      <c r="E54" s="40">
        <v>2</v>
      </c>
      <c r="F54" s="22">
        <v>3</v>
      </c>
      <c r="G54" s="41">
        <f t="shared" si="5"/>
        <v>6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46" t="s">
        <v>81</v>
      </c>
      <c r="C55" s="38" t="s">
        <v>82</v>
      </c>
      <c r="D55" s="39" t="s">
        <v>50</v>
      </c>
      <c r="E55" s="40">
        <v>-1</v>
      </c>
      <c r="F55" s="22">
        <v>5</v>
      </c>
      <c r="G55" s="41">
        <f t="shared" si="5"/>
        <v>-5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46" t="s">
        <v>83</v>
      </c>
      <c r="C56" s="38" t="s">
        <v>84</v>
      </c>
      <c r="D56" s="39" t="s">
        <v>50</v>
      </c>
      <c r="E56" s="40">
        <v>-1</v>
      </c>
      <c r="F56" s="22">
        <v>5</v>
      </c>
      <c r="G56" s="41">
        <f t="shared" si="5"/>
        <v>-5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.75" customHeight="1" x14ac:dyDescent="0.25">
      <c r="A57" s="1"/>
      <c r="B57" s="74" t="s">
        <v>85</v>
      </c>
      <c r="C57" s="75"/>
      <c r="D57" s="75"/>
      <c r="E57" s="75"/>
      <c r="F57" s="76"/>
      <c r="G57" s="16">
        <f>SUM(G49:G56)</f>
        <v>9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.75" customHeight="1" x14ac:dyDescent="0.25">
      <c r="A58" s="1"/>
      <c r="B58" s="74" t="s">
        <v>117</v>
      </c>
      <c r="C58" s="75"/>
      <c r="D58" s="75"/>
      <c r="E58" s="75"/>
      <c r="F58" s="76"/>
      <c r="G58" s="16">
        <f>1.4 + (-0.03*G57)</f>
        <v>1.1299999999999999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.75" customHeight="1" x14ac:dyDescent="0.25">
      <c r="A59" s="1"/>
      <c r="B59" s="25"/>
      <c r="C59" s="47"/>
      <c r="D59" s="48"/>
      <c r="E59" s="47"/>
      <c r="F59" s="49" t="s">
        <v>87</v>
      </c>
      <c r="G59" s="16">
        <f>COUNTIF($F$49:$F$54,"&lt;3")+COUNTIF($F$55:$F$56,"&gt;3")</f>
        <v>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.75" customHeight="1" x14ac:dyDescent="0.25">
      <c r="A60" s="1"/>
      <c r="B60" s="27"/>
      <c r="C60" s="3"/>
      <c r="D60" s="3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.75" customHeight="1" x14ac:dyDescent="0.25">
      <c r="A61" s="1"/>
      <c r="B61" s="1"/>
      <c r="C61" s="1"/>
      <c r="D61" s="2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.75" customHeight="1" x14ac:dyDescent="0.25">
      <c r="A62" s="15" t="s">
        <v>88</v>
      </c>
      <c r="B62" s="77" t="s">
        <v>118</v>
      </c>
      <c r="C62" s="75"/>
      <c r="D62" s="75"/>
      <c r="E62" s="75"/>
      <c r="F62" s="76"/>
      <c r="G62" s="50">
        <f>F24*G45*G58</f>
        <v>43.781849999999999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.75" customHeight="1" x14ac:dyDescent="0.25">
      <c r="A63" s="1"/>
      <c r="B63" s="1"/>
      <c r="C63" s="1"/>
      <c r="D63" s="2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.75" customHeight="1" x14ac:dyDescent="0.25">
      <c r="A64" s="1"/>
      <c r="B64" s="1"/>
      <c r="C64" s="1"/>
      <c r="D64" s="2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51" t="s">
        <v>90</v>
      </c>
      <c r="B65" s="17" t="s">
        <v>91</v>
      </c>
      <c r="C65" s="17" t="s">
        <v>92</v>
      </c>
      <c r="D65" s="17" t="s">
        <v>93</v>
      </c>
      <c r="E65" s="3"/>
      <c r="F65" s="1"/>
      <c r="G65" s="17" t="s">
        <v>94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75" customHeight="1" x14ac:dyDescent="0.25">
      <c r="A66" s="1"/>
      <c r="B66" s="52">
        <v>20</v>
      </c>
      <c r="C66" s="52">
        <f>IF($G$59&gt;=5,36,IF(AND(G$59&gt;2,$G$59&lt;=4),28, IF(AND($G$59&gt;=0,$G$59&lt;=2),20,"error")))</f>
        <v>28</v>
      </c>
      <c r="D66" s="53">
        <f>IF($G$59&gt;=5,$G$66*(36/20),IF(AND($G$59&gt;2,$G$59&lt;=4),$G$66*(28/20), IF(AND($G$59&gt;=0,$G$59&lt;=2),$G$66,"error")))</f>
        <v>5.6</v>
      </c>
      <c r="E66" s="3"/>
      <c r="F66" s="1"/>
      <c r="G66" s="54">
        <v>4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.75" customHeight="1" x14ac:dyDescent="0.25">
      <c r="A67" s="1"/>
      <c r="B67" s="78" t="s">
        <v>95</v>
      </c>
      <c r="C67" s="75"/>
      <c r="D67" s="76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.75" customHeight="1" x14ac:dyDescent="0.25">
      <c r="A68" s="55" t="s">
        <v>96</v>
      </c>
      <c r="B68" s="52">
        <f t="shared" ref="B68:D68" si="6">$G$62*B66</f>
        <v>875.63699999999994</v>
      </c>
      <c r="C68" s="52">
        <f t="shared" si="6"/>
        <v>1225.8917999999999</v>
      </c>
      <c r="D68" s="52">
        <f t="shared" si="6"/>
        <v>245.17835999999997</v>
      </c>
      <c r="E68" s="3"/>
      <c r="F68" s="1"/>
      <c r="G68" s="17" t="s">
        <v>97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.75" customHeight="1" x14ac:dyDescent="0.25">
      <c r="A69" s="55" t="s">
        <v>98</v>
      </c>
      <c r="B69" s="56">
        <f t="shared" ref="B69:C69" si="7">B68/(22*8)</f>
        <v>4.9752102272727265</v>
      </c>
      <c r="C69" s="56">
        <f t="shared" si="7"/>
        <v>6.9652943181818179</v>
      </c>
      <c r="D69" s="57">
        <f>D68/(22*G69)</f>
        <v>2.7861177272727269</v>
      </c>
      <c r="E69" s="3"/>
      <c r="F69" s="1"/>
      <c r="G69" s="54">
        <v>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.75" customHeight="1" x14ac:dyDescent="0.25">
      <c r="A70" s="1"/>
      <c r="B70" s="1"/>
      <c r="C70" s="1"/>
      <c r="D70" s="2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.75" customHeight="1" x14ac:dyDescent="0.25">
      <c r="A71" s="1"/>
      <c r="B71" s="1"/>
      <c r="C71" s="1"/>
      <c r="D71" s="1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75" customHeight="1" x14ac:dyDescent="0.25">
      <c r="A72" s="15" t="s">
        <v>99</v>
      </c>
      <c r="B72" s="58" t="s">
        <v>100</v>
      </c>
      <c r="C72" s="59"/>
      <c r="D72" s="48"/>
      <c r="E72" s="47"/>
      <c r="F72" s="60"/>
      <c r="G72" s="6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75" customHeight="1" x14ac:dyDescent="0.25">
      <c r="A73" s="1"/>
      <c r="B73" s="37" t="s">
        <v>101</v>
      </c>
      <c r="C73" s="16" t="s">
        <v>102</v>
      </c>
      <c r="D73" s="50" t="s">
        <v>103</v>
      </c>
      <c r="E73" s="50" t="s">
        <v>104</v>
      </c>
      <c r="F73" s="50" t="s">
        <v>105</v>
      </c>
      <c r="G73" s="50" t="s">
        <v>106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75" customHeight="1" x14ac:dyDescent="0.25">
      <c r="A74" s="1"/>
      <c r="B74" s="61" t="s">
        <v>107</v>
      </c>
      <c r="C74" s="62">
        <v>0.4</v>
      </c>
      <c r="D74" s="56">
        <f t="shared" ref="D74:F74" si="8">$C74/$C$74*B$69</f>
        <v>4.9752102272727265</v>
      </c>
      <c r="E74" s="56">
        <f t="shared" si="8"/>
        <v>6.9652943181818179</v>
      </c>
      <c r="F74" s="56">
        <f t="shared" si="8"/>
        <v>2.7861177272727269</v>
      </c>
      <c r="G74" s="56">
        <f>D68</f>
        <v>245.17835999999997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75" customHeight="1" x14ac:dyDescent="0.25">
      <c r="A75" s="1"/>
      <c r="B75" s="61" t="s">
        <v>108</v>
      </c>
      <c r="C75" s="62">
        <f>1-C74</f>
        <v>0.6</v>
      </c>
      <c r="D75" s="52">
        <f t="shared" ref="D75:F75" si="9">$C75/$C$74*B$69</f>
        <v>7.4628153409090885</v>
      </c>
      <c r="E75" s="52">
        <f t="shared" si="9"/>
        <v>10.447941477272725</v>
      </c>
      <c r="F75" s="52">
        <f t="shared" si="9"/>
        <v>4.1791765909090897</v>
      </c>
      <c r="G75" s="52">
        <f>D68*1.5</f>
        <v>367.76753999999994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.75" customHeight="1" x14ac:dyDescent="0.25">
      <c r="A76" s="1"/>
      <c r="B76" s="63"/>
      <c r="C76" s="62">
        <f>SUM(C74:C75)</f>
        <v>1</v>
      </c>
      <c r="D76" s="56">
        <f t="shared" ref="D76:F76" si="10">$C76/$C$74*B$69</f>
        <v>12.438025568181816</v>
      </c>
      <c r="E76" s="56">
        <f t="shared" si="10"/>
        <v>17.413235795454543</v>
      </c>
      <c r="F76" s="56">
        <f t="shared" si="10"/>
        <v>6.965294318181817</v>
      </c>
      <c r="G76" s="56">
        <f>G74+G75</f>
        <v>612.94589999999994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75" customHeight="1" x14ac:dyDescent="0.25">
      <c r="A77" s="1"/>
      <c r="B77" s="1"/>
      <c r="C77" s="1"/>
      <c r="D77" s="2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.75" customHeight="1" x14ac:dyDescent="0.25">
      <c r="A78" s="15" t="s">
        <v>109</v>
      </c>
      <c r="B78" s="22">
        <v>4</v>
      </c>
      <c r="C78" s="1"/>
      <c r="D78" s="2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75" customHeight="1" x14ac:dyDescent="0.25">
      <c r="A79" s="1"/>
      <c r="B79" s="1"/>
      <c r="C79" s="1"/>
      <c r="D79" s="2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75" customHeight="1" x14ac:dyDescent="0.25">
      <c r="A80" s="15" t="s">
        <v>110</v>
      </c>
      <c r="B80" s="50" t="s">
        <v>111</v>
      </c>
      <c r="C80" s="50" t="s">
        <v>112</v>
      </c>
      <c r="D80" s="50" t="s">
        <v>113</v>
      </c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75" customHeight="1" x14ac:dyDescent="0.25">
      <c r="A81" s="64"/>
      <c r="B81" s="65">
        <f>$D$76/$B$78</f>
        <v>3.109506392045454</v>
      </c>
      <c r="C81" s="65">
        <f>$E$76/$B$78</f>
        <v>4.3533089488636358</v>
      </c>
      <c r="D81" s="65">
        <f>$F$76/$B$78</f>
        <v>1.7413235795454542</v>
      </c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5.75" customHeight="1" x14ac:dyDescent="0.25">
      <c r="A82" s="64"/>
      <c r="B82" s="64"/>
      <c r="C82" s="64"/>
      <c r="D82" s="64"/>
      <c r="E82" s="66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15.75" customHeight="1" x14ac:dyDescent="0.25">
      <c r="A83" s="64"/>
      <c r="B83" s="64"/>
      <c r="C83" s="64"/>
      <c r="D83" s="64"/>
      <c r="E83" s="66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5.75" customHeight="1" x14ac:dyDescent="0.25">
      <c r="A84" s="67" t="s">
        <v>124</v>
      </c>
      <c r="B84" s="68" t="s">
        <v>125</v>
      </c>
      <c r="C84" s="68" t="s">
        <v>125</v>
      </c>
      <c r="D84" s="69" t="s">
        <v>125</v>
      </c>
      <c r="E84" s="70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5.75" customHeight="1" x14ac:dyDescent="0.25">
      <c r="A85" s="72">
        <v>45968</v>
      </c>
      <c r="B85" s="73">
        <f>EDATE(A85,INT(B81)) + (B81-INT(B81))*DAY(EDATE(A85,INT(B81)+1)-EDATE(A85,INT(B81)))</f>
        <v>46063.066178977271</v>
      </c>
      <c r="C85" s="73">
        <f>EDATE(A85,INT(C81)) + (C81-INT(C81))*DAY(EDATE(A85,INT(C81)+1)-EDATE(A85,INT(C81)))</f>
        <v>46098.95257741477</v>
      </c>
      <c r="D85" s="73">
        <f>EDATE(A85,INT(D81)) + (D81-INT(D81))*DAY(EDATE(A85,INT(D81)+1)-EDATE(A85,INT(D81)))</f>
        <v>46020.981030965908</v>
      </c>
      <c r="E85" s="70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5.75" customHeight="1" x14ac:dyDescent="0.25">
      <c r="A86" s="64"/>
      <c r="B86" s="64"/>
      <c r="C86" s="64"/>
      <c r="D86" s="64"/>
      <c r="E86" s="66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5.75" customHeight="1" x14ac:dyDescent="0.25">
      <c r="A87" s="64"/>
      <c r="B87" s="64"/>
      <c r="C87" s="64"/>
      <c r="D87" s="64"/>
      <c r="E87" s="66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5.75" customHeight="1" x14ac:dyDescent="0.25">
      <c r="A88" s="64"/>
      <c r="B88" s="64"/>
      <c r="C88" s="64"/>
      <c r="D88" s="64"/>
      <c r="E88" s="66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5.75" customHeight="1" x14ac:dyDescent="0.25">
      <c r="A89" s="64"/>
      <c r="B89" s="64"/>
      <c r="C89" s="64"/>
      <c r="D89" s="64"/>
      <c r="E89" s="66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5.75" customHeight="1" x14ac:dyDescent="0.25">
      <c r="A90" s="64"/>
      <c r="B90" s="64"/>
      <c r="C90" s="64"/>
      <c r="D90" s="64"/>
      <c r="E90" s="66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5.75" customHeight="1" x14ac:dyDescent="0.25">
      <c r="A91" s="64"/>
      <c r="B91" s="64"/>
      <c r="C91" s="64"/>
      <c r="D91" s="64"/>
      <c r="E91" s="66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5.75" customHeight="1" x14ac:dyDescent="0.25">
      <c r="A92" s="64"/>
      <c r="B92" s="64"/>
      <c r="C92" s="64"/>
      <c r="D92" s="64"/>
      <c r="E92" s="66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5.75" customHeight="1" x14ac:dyDescent="0.25">
      <c r="A93" s="64"/>
      <c r="B93" s="64"/>
      <c r="C93" s="64"/>
      <c r="D93" s="64"/>
      <c r="E93" s="66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5.75" customHeight="1" x14ac:dyDescent="0.25">
      <c r="A94" s="64"/>
      <c r="B94" s="64"/>
      <c r="C94" s="64"/>
      <c r="D94" s="64"/>
      <c r="E94" s="66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5.75" customHeight="1" x14ac:dyDescent="0.25">
      <c r="A95" s="64"/>
      <c r="B95" s="64"/>
      <c r="C95" s="64"/>
      <c r="D95" s="64"/>
      <c r="E95" s="66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5.75" customHeight="1" x14ac:dyDescent="0.25">
      <c r="A96" s="64"/>
      <c r="B96" s="64"/>
      <c r="C96" s="64"/>
      <c r="D96" s="64"/>
      <c r="E96" s="66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5.75" customHeight="1" x14ac:dyDescent="0.25">
      <c r="A97" s="64"/>
      <c r="B97" s="64"/>
      <c r="C97" s="64"/>
      <c r="D97" s="64"/>
      <c r="E97" s="66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5.75" customHeight="1" x14ac:dyDescent="0.25">
      <c r="A98" s="1"/>
      <c r="B98" s="1"/>
      <c r="C98" s="1"/>
      <c r="D98" s="2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2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2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2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2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2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2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0">
    <mergeCell ref="B58:F58"/>
    <mergeCell ref="B62:F62"/>
    <mergeCell ref="B67:D67"/>
    <mergeCell ref="B2:G2"/>
    <mergeCell ref="C13:F13"/>
    <mergeCell ref="C20:E20"/>
    <mergeCell ref="C24:E24"/>
    <mergeCell ref="B44:F44"/>
    <mergeCell ref="B45:F45"/>
    <mergeCell ref="B57:F57"/>
  </mergeCells>
  <dataValidations count="2">
    <dataValidation type="list" allowBlank="1" showErrorMessage="1" sqref="C8:C12" xr:uid="{00000000-0002-0000-0100-000000000000}">
      <formula1>"Simple,Intermedio,Complejo"</formula1>
    </dataValidation>
    <dataValidation type="decimal" allowBlank="1" showInputMessage="1" showErrorMessage="1" prompt="Entre 1 y 9 personas." sqref="B78" xr:uid="{00000000-0002-0000-0100-000001000000}">
      <formula1>1</formula1>
      <formula2>9</formula2>
    </dataValidation>
  </dataValidations>
  <hyperlinks>
    <hyperlink ref="H31" r:id="rId1" location="v=onepage&amp;q=e7%20part-time%20members&amp;f=false" xr:uid="{00000000-0004-0000-0100-000000000000}"/>
    <hyperlink ref="H49" r:id="rId2" location="v=onepage&amp;q=e7%20part-time%20members&amp;f=false" xr:uid="{00000000-0004-0000-0100-000001000000}"/>
  </hyperlinks>
  <pageMargins left="0.75" right="0.75" top="1" bottom="1" header="0" footer="0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2"/>
  <sheetViews>
    <sheetView topLeftCell="A73" zoomScaleNormal="100" workbookViewId="0">
      <selection activeCell="D92" sqref="D92"/>
    </sheetView>
  </sheetViews>
  <sheetFormatPr baseColWidth="10" defaultColWidth="12.6640625" defaultRowHeight="15" customHeight="1" x14ac:dyDescent="0.25"/>
  <cols>
    <col min="1" max="1" width="27.6640625" customWidth="1"/>
    <col min="2" max="2" width="51.109375" customWidth="1"/>
    <col min="3" max="3" width="42.6640625" customWidth="1"/>
    <col min="4" max="4" width="38.6640625" customWidth="1"/>
    <col min="5" max="5" width="13.6640625" customWidth="1"/>
    <col min="6" max="6" width="16.109375" customWidth="1"/>
    <col min="7" max="7" width="16.6640625" customWidth="1"/>
    <col min="8" max="8" width="34.33203125" customWidth="1"/>
    <col min="9" max="9" width="10.6640625" customWidth="1"/>
    <col min="10" max="10" width="13.6640625" customWidth="1"/>
    <col min="11" max="26" width="9.109375" customWidth="1"/>
  </cols>
  <sheetData>
    <row r="1" spans="1:26" ht="27.75" customHeight="1" x14ac:dyDescent="0.25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x14ac:dyDescent="0.25">
      <c r="A2" s="4"/>
      <c r="B2" s="79" t="s">
        <v>0</v>
      </c>
      <c r="C2" s="75"/>
      <c r="D2" s="75"/>
      <c r="E2" s="75"/>
      <c r="F2" s="75"/>
      <c r="G2" s="76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75" customHeight="1" x14ac:dyDescent="0.25">
      <c r="A3" s="4"/>
      <c r="B3" s="6" t="s">
        <v>1</v>
      </c>
      <c r="C3" s="4" t="s">
        <v>2</v>
      </c>
      <c r="D3" s="7"/>
      <c r="E3" s="7"/>
      <c r="F3" s="7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75" customHeight="1" x14ac:dyDescent="0.25">
      <c r="A4" s="4"/>
      <c r="B4" s="9" t="s">
        <v>3</v>
      </c>
      <c r="C4" s="10" t="s">
        <v>4</v>
      </c>
      <c r="D4" s="11"/>
      <c r="E4" s="11"/>
      <c r="F4" s="11"/>
      <c r="G4" s="12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75" customHeight="1" x14ac:dyDescent="0.25">
      <c r="A5" s="1"/>
      <c r="B5" s="13"/>
      <c r="C5" s="1"/>
      <c r="D5" s="14"/>
      <c r="E5" s="14"/>
      <c r="F5" s="14"/>
      <c r="G5" s="14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75" customHeight="1" x14ac:dyDescent="0.25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5" t="s">
        <v>5</v>
      </c>
      <c r="B7" s="16" t="s">
        <v>6</v>
      </c>
      <c r="C7" s="17" t="s">
        <v>7</v>
      </c>
      <c r="D7" s="17" t="s">
        <v>8</v>
      </c>
      <c r="E7" s="16" t="s">
        <v>9</v>
      </c>
      <c r="F7" s="16" t="s">
        <v>10</v>
      </c>
      <c r="G7" s="16" t="s">
        <v>11</v>
      </c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7.75" customHeight="1" x14ac:dyDescent="0.25">
      <c r="A8" s="1"/>
      <c r="B8" s="18" t="s">
        <v>12</v>
      </c>
      <c r="C8" s="19" t="s">
        <v>13</v>
      </c>
      <c r="D8" s="20" t="s">
        <v>14</v>
      </c>
      <c r="E8" s="21">
        <f t="shared" ref="E8:E12" si="0">IF(C8="Simple",1,IF(C8="Intermedio",2,IF(C8="Complejo",3,"error")))</f>
        <v>3</v>
      </c>
      <c r="F8" s="22">
        <v>1</v>
      </c>
      <c r="G8" s="21">
        <f t="shared" ref="G8:G12" si="1">E8*F8</f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5" customHeight="1" x14ac:dyDescent="0.25">
      <c r="A9" s="1"/>
      <c r="B9" s="18" t="s">
        <v>15</v>
      </c>
      <c r="C9" s="19" t="s">
        <v>13</v>
      </c>
      <c r="D9" s="23" t="s">
        <v>16</v>
      </c>
      <c r="E9" s="21">
        <f t="shared" si="0"/>
        <v>3</v>
      </c>
      <c r="F9" s="22">
        <v>3</v>
      </c>
      <c r="G9" s="21">
        <f t="shared" si="1"/>
        <v>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75" customHeight="1" x14ac:dyDescent="0.25">
      <c r="A10" s="1"/>
      <c r="B10" s="18" t="s">
        <v>17</v>
      </c>
      <c r="C10" s="19" t="s">
        <v>18</v>
      </c>
      <c r="D10" s="23" t="s">
        <v>19</v>
      </c>
      <c r="E10" s="21">
        <f t="shared" si="0"/>
        <v>2</v>
      </c>
      <c r="F10" s="22">
        <v>1</v>
      </c>
      <c r="G10" s="21">
        <f t="shared" si="1"/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 x14ac:dyDescent="0.25">
      <c r="A11" s="1"/>
      <c r="B11" s="18" t="s">
        <v>20</v>
      </c>
      <c r="C11" s="19" t="s">
        <v>21</v>
      </c>
      <c r="D11" s="23" t="s">
        <v>22</v>
      </c>
      <c r="E11" s="21">
        <f t="shared" si="0"/>
        <v>1</v>
      </c>
      <c r="F11" s="22">
        <v>1</v>
      </c>
      <c r="G11" s="21">
        <f t="shared" si="1"/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 x14ac:dyDescent="0.25">
      <c r="A12" s="1"/>
      <c r="B12" s="18" t="s">
        <v>23</v>
      </c>
      <c r="C12" s="19" t="s">
        <v>21</v>
      </c>
      <c r="D12" s="23" t="s">
        <v>24</v>
      </c>
      <c r="E12" s="21">
        <f t="shared" si="0"/>
        <v>1</v>
      </c>
      <c r="F12" s="22">
        <v>1</v>
      </c>
      <c r="G12" s="21">
        <f t="shared" si="1"/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75" customHeight="1" x14ac:dyDescent="0.25">
      <c r="A13" s="1"/>
      <c r="B13" s="24"/>
      <c r="C13" s="74" t="s">
        <v>25</v>
      </c>
      <c r="D13" s="75"/>
      <c r="E13" s="75"/>
      <c r="F13" s="76"/>
      <c r="G13" s="26">
        <f>SUM(G8:G12)</f>
        <v>16</v>
      </c>
      <c r="H13" s="1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75" customHeight="1" x14ac:dyDescent="0.25">
      <c r="A14" s="1"/>
      <c r="B14" s="15"/>
      <c r="C14" s="27" t="s">
        <v>26</v>
      </c>
      <c r="D14" s="3"/>
      <c r="E14" s="3"/>
      <c r="F14" s="3"/>
      <c r="G14" s="28"/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75" customHeight="1" x14ac:dyDescent="0.25">
      <c r="A15" s="1"/>
      <c r="B15" s="15"/>
      <c r="C15" s="29"/>
      <c r="D15" s="29"/>
      <c r="E15" s="30"/>
      <c r="F15" s="15"/>
      <c r="G15" s="15"/>
      <c r="H15" s="1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75" customHeight="1" x14ac:dyDescent="0.25">
      <c r="A16" s="15" t="s">
        <v>27</v>
      </c>
      <c r="B16" s="16" t="s">
        <v>28</v>
      </c>
      <c r="C16" s="16" t="s">
        <v>29</v>
      </c>
      <c r="D16" s="17" t="s">
        <v>30</v>
      </c>
      <c r="E16" s="17" t="s">
        <v>31</v>
      </c>
      <c r="F16" s="16" t="s">
        <v>9</v>
      </c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1"/>
      <c r="U16" s="1"/>
      <c r="V16" s="1"/>
      <c r="W16" s="1"/>
      <c r="X16" s="1"/>
      <c r="Y16" s="1"/>
      <c r="Z16" s="1"/>
    </row>
    <row r="17" spans="1:26" ht="27.75" customHeight="1" x14ac:dyDescent="0.25">
      <c r="A17" s="1"/>
      <c r="B17" s="32" t="s">
        <v>33</v>
      </c>
      <c r="C17" s="33" t="s">
        <v>34</v>
      </c>
      <c r="D17" s="33">
        <v>4</v>
      </c>
      <c r="E17" s="34" t="str">
        <f t="shared" ref="E17:E19" si="2">IF($D17&gt;0,IF($D17&lt;=3,"Simple",IF(AND($D17&gt;3,$D17&lt;7),"Intermedio",IF($D17&gt;=7,"Complejo","error"))),"-")</f>
        <v>Intermedio</v>
      </c>
      <c r="F17" s="21">
        <f t="shared" ref="F17:F19" si="3">IF($D17&gt;0,IF($D17&lt;=3,5,IF(AND($D17&gt;3,$D17&lt;7),10,IF($D17&gt;=7,15,"error"))),0)</f>
        <v>10</v>
      </c>
      <c r="G17" s="1"/>
      <c r="H17" s="1"/>
      <c r="I17" s="1"/>
      <c r="J17" s="1"/>
      <c r="K17" s="31"/>
      <c r="L17" s="1"/>
      <c r="M17" s="1"/>
      <c r="N17" s="1"/>
      <c r="O17" s="1"/>
      <c r="P17" s="1"/>
      <c r="Q17" s="1"/>
      <c r="R17" s="1"/>
      <c r="S17" s="1"/>
      <c r="T17" s="31"/>
      <c r="U17" s="1"/>
      <c r="V17" s="1"/>
      <c r="W17" s="1"/>
      <c r="X17" s="1"/>
      <c r="Y17" s="1"/>
      <c r="Z17" s="1"/>
    </row>
    <row r="18" spans="1:26" ht="27.75" customHeight="1" x14ac:dyDescent="0.25">
      <c r="A18" s="1"/>
      <c r="B18" s="32" t="s">
        <v>35</v>
      </c>
      <c r="C18" s="33" t="s">
        <v>36</v>
      </c>
      <c r="D18" s="33">
        <v>4</v>
      </c>
      <c r="E18" s="34" t="str">
        <f t="shared" si="2"/>
        <v>Intermedio</v>
      </c>
      <c r="F18" s="21">
        <f t="shared" si="3"/>
        <v>10</v>
      </c>
      <c r="G18" s="1"/>
      <c r="H18" s="1"/>
      <c r="I18" s="1"/>
      <c r="J18" s="1"/>
      <c r="K18" s="31"/>
      <c r="L18" s="1"/>
      <c r="M18" s="1"/>
      <c r="N18" s="1"/>
      <c r="O18" s="1"/>
      <c r="P18" s="1"/>
      <c r="Q18" s="1"/>
      <c r="R18" s="1"/>
      <c r="S18" s="1"/>
      <c r="T18" s="31"/>
      <c r="U18" s="1"/>
      <c r="V18" s="1"/>
      <c r="W18" s="1"/>
      <c r="X18" s="1"/>
      <c r="Y18" s="1"/>
      <c r="Z18" s="1"/>
    </row>
    <row r="19" spans="1:26" ht="27.75" customHeight="1" x14ac:dyDescent="0.25">
      <c r="A19" s="1"/>
      <c r="B19" s="32" t="s">
        <v>37</v>
      </c>
      <c r="C19" s="33" t="s">
        <v>32</v>
      </c>
      <c r="D19" s="33">
        <v>3</v>
      </c>
      <c r="E19" s="34" t="str">
        <f t="shared" si="2"/>
        <v>Simple</v>
      </c>
      <c r="F19" s="21">
        <f t="shared" si="3"/>
        <v>5</v>
      </c>
      <c r="G19" s="1"/>
      <c r="H19" s="1"/>
      <c r="I19" s="1"/>
      <c r="J19" s="1"/>
      <c r="K19" s="31"/>
      <c r="L19" s="1"/>
      <c r="M19" s="1"/>
      <c r="N19" s="1"/>
      <c r="O19" s="1"/>
      <c r="P19" s="1"/>
      <c r="Q19" s="1"/>
      <c r="R19" s="1"/>
      <c r="S19" s="1"/>
      <c r="T19" s="31"/>
      <c r="U19" s="1"/>
      <c r="V19" s="1"/>
      <c r="W19" s="1"/>
      <c r="X19" s="1"/>
      <c r="Y19" s="1"/>
      <c r="Z19" s="1"/>
    </row>
    <row r="20" spans="1:26" ht="27.75" customHeight="1" x14ac:dyDescent="0.25">
      <c r="A20" s="1"/>
      <c r="B20" s="35"/>
      <c r="C20" s="80" t="s">
        <v>38</v>
      </c>
      <c r="D20" s="81"/>
      <c r="E20" s="82"/>
      <c r="F20" s="36">
        <f>SUM(F17:F19)</f>
        <v>25</v>
      </c>
      <c r="G20" s="1"/>
      <c r="H20" s="1"/>
      <c r="I20" s="1"/>
      <c r="J20" s="1"/>
      <c r="K20" s="31"/>
      <c r="L20" s="1"/>
      <c r="M20" s="1"/>
      <c r="N20" s="1"/>
      <c r="O20" s="1"/>
      <c r="P20" s="1"/>
      <c r="Q20" s="1"/>
      <c r="R20" s="1"/>
      <c r="S20" s="1"/>
      <c r="T20" s="31"/>
      <c r="U20" s="1"/>
      <c r="V20" s="1"/>
      <c r="W20" s="1"/>
      <c r="X20" s="1"/>
      <c r="Y20" s="1"/>
      <c r="Z20" s="1"/>
    </row>
    <row r="21" spans="1:26" ht="27.75" customHeight="1" x14ac:dyDescent="0.25">
      <c r="A21" s="1"/>
      <c r="G21" s="1"/>
      <c r="H21" s="1"/>
      <c r="I21" s="1"/>
      <c r="J21" s="1"/>
      <c r="K21" s="31"/>
      <c r="L21" s="1"/>
      <c r="M21" s="1"/>
      <c r="N21" s="1"/>
      <c r="O21" s="1"/>
      <c r="P21" s="1"/>
      <c r="Q21" s="1"/>
      <c r="R21" s="1"/>
      <c r="S21" s="1"/>
      <c r="T21" s="31"/>
      <c r="U21" s="1"/>
      <c r="V21" s="1"/>
      <c r="W21" s="1"/>
      <c r="X21" s="1"/>
      <c r="Y21" s="1"/>
      <c r="Z21" s="1"/>
    </row>
    <row r="22" spans="1:26" ht="27.75" customHeight="1" x14ac:dyDescent="0.25">
      <c r="A22" s="1"/>
      <c r="G22" s="1"/>
      <c r="H22" s="1"/>
      <c r="I22" s="1"/>
      <c r="J22" s="1"/>
      <c r="K22" s="31"/>
      <c r="L22" s="1"/>
      <c r="M22" s="1"/>
      <c r="N22" s="1"/>
      <c r="O22" s="1"/>
      <c r="P22" s="1"/>
      <c r="Q22" s="1"/>
      <c r="R22" s="1"/>
      <c r="S22" s="1"/>
      <c r="T22" s="31"/>
      <c r="U22" s="1"/>
      <c r="V22" s="1"/>
      <c r="W22" s="1"/>
      <c r="X22" s="1"/>
      <c r="Y22" s="1"/>
      <c r="Z22" s="1"/>
    </row>
    <row r="23" spans="1:26" ht="27.75" customHeight="1" x14ac:dyDescent="0.25">
      <c r="A23" s="1"/>
      <c r="G23" s="1"/>
      <c r="H23" s="1"/>
      <c r="I23" s="1"/>
      <c r="J23" s="1"/>
      <c r="K23" s="31"/>
      <c r="L23" s="1"/>
      <c r="M23" s="1"/>
      <c r="N23" s="1"/>
      <c r="O23" s="1"/>
      <c r="P23" s="1"/>
      <c r="Q23" s="1"/>
      <c r="R23" s="1"/>
      <c r="S23" s="1"/>
      <c r="T23" s="31"/>
      <c r="U23" s="1"/>
      <c r="V23" s="1"/>
      <c r="W23" s="1"/>
      <c r="X23" s="1"/>
      <c r="Y23" s="1"/>
      <c r="Z23" s="1"/>
    </row>
    <row r="24" spans="1:26" ht="27.75" customHeight="1" x14ac:dyDescent="0.25">
      <c r="A24" s="15" t="s">
        <v>39</v>
      </c>
      <c r="B24" s="37"/>
      <c r="C24" s="74" t="s">
        <v>119</v>
      </c>
      <c r="D24" s="75"/>
      <c r="E24" s="76"/>
      <c r="F24" s="26">
        <f>G13+F20</f>
        <v>41</v>
      </c>
      <c r="G24" s="1"/>
      <c r="H24" s="15"/>
      <c r="I24" s="1"/>
      <c r="J24" s="1"/>
      <c r="K24" s="3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.75" customHeight="1" x14ac:dyDescent="0.25">
      <c r="A25" s="1"/>
      <c r="B25" s="1"/>
      <c r="C25" s="1"/>
      <c r="D25" s="2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.75" customHeight="1" x14ac:dyDescent="0.25">
      <c r="A26" s="1"/>
      <c r="B26" s="1"/>
      <c r="C26" s="1"/>
      <c r="D26" s="2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.75" customHeight="1" x14ac:dyDescent="0.25">
      <c r="G27" s="1"/>
      <c r="H27" s="1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.75" customHeight="1" x14ac:dyDescent="0.25">
      <c r="A28" s="1"/>
      <c r="B28" s="1"/>
      <c r="C28" s="1"/>
      <c r="D28" s="2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.75" customHeight="1" x14ac:dyDescent="0.25">
      <c r="A29" s="1"/>
      <c r="B29" s="3"/>
      <c r="C29" s="1"/>
      <c r="D29" s="2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.75" customHeight="1" x14ac:dyDescent="0.25">
      <c r="A30" s="15" t="s">
        <v>41</v>
      </c>
      <c r="B30" s="17" t="s">
        <v>42</v>
      </c>
      <c r="C30" s="17" t="s">
        <v>43</v>
      </c>
      <c r="D30" s="16" t="s">
        <v>44</v>
      </c>
      <c r="E30" s="16" t="s">
        <v>9</v>
      </c>
      <c r="F30" s="16" t="s">
        <v>45</v>
      </c>
      <c r="G30" s="16" t="s">
        <v>46</v>
      </c>
      <c r="H30" s="1" t="s">
        <v>47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27.75" customHeight="1" x14ac:dyDescent="0.25">
      <c r="A31" s="1"/>
      <c r="B31" s="38" t="s">
        <v>48</v>
      </c>
      <c r="C31" s="38" t="s">
        <v>49</v>
      </c>
      <c r="D31" s="39" t="s">
        <v>50</v>
      </c>
      <c r="E31" s="40" t="s">
        <v>51</v>
      </c>
      <c r="F31" s="22">
        <v>0</v>
      </c>
      <c r="G31" s="41">
        <f t="shared" ref="G31:G43" si="4">E31*F31</f>
        <v>0</v>
      </c>
      <c r="H31" s="42" t="s">
        <v>52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38" t="s">
        <v>53</v>
      </c>
      <c r="C32" s="38" t="s">
        <v>49</v>
      </c>
      <c r="D32" s="39" t="s">
        <v>50</v>
      </c>
      <c r="E32" s="41">
        <v>2</v>
      </c>
      <c r="F32" s="22">
        <v>3</v>
      </c>
      <c r="G32" s="41">
        <f t="shared" si="4"/>
        <v>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75" customHeight="1" x14ac:dyDescent="0.25">
      <c r="A33" s="1"/>
      <c r="B33" s="38" t="s">
        <v>54</v>
      </c>
      <c r="C33" s="38" t="s">
        <v>49</v>
      </c>
      <c r="D33" s="39" t="s">
        <v>50</v>
      </c>
      <c r="E33" s="41">
        <v>1</v>
      </c>
      <c r="F33" s="22">
        <v>5</v>
      </c>
      <c r="G33" s="41">
        <f t="shared" si="4"/>
        <v>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38" t="s">
        <v>55</v>
      </c>
      <c r="C34" s="38" t="s">
        <v>49</v>
      </c>
      <c r="D34" s="39" t="s">
        <v>50</v>
      </c>
      <c r="E34" s="41">
        <v>1</v>
      </c>
      <c r="F34" s="22">
        <v>4</v>
      </c>
      <c r="G34" s="41">
        <f t="shared" si="4"/>
        <v>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.75" customHeight="1" x14ac:dyDescent="0.25">
      <c r="A35" s="1"/>
      <c r="B35" s="38" t="s">
        <v>56</v>
      </c>
      <c r="C35" s="38" t="s">
        <v>49</v>
      </c>
      <c r="D35" s="39" t="s">
        <v>50</v>
      </c>
      <c r="E35" s="40">
        <v>1</v>
      </c>
      <c r="F35" s="22">
        <v>2</v>
      </c>
      <c r="G35" s="41">
        <f t="shared" si="4"/>
        <v>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.75" customHeight="1" x14ac:dyDescent="0.25">
      <c r="A36" s="1"/>
      <c r="B36" s="38" t="s">
        <v>57</v>
      </c>
      <c r="C36" s="38" t="s">
        <v>49</v>
      </c>
      <c r="D36" s="39" t="s">
        <v>50</v>
      </c>
      <c r="E36" s="40">
        <v>0.5</v>
      </c>
      <c r="F36" s="22">
        <v>2</v>
      </c>
      <c r="G36" s="41">
        <f t="shared" si="4"/>
        <v>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.75" customHeight="1" x14ac:dyDescent="0.25">
      <c r="A37" s="1"/>
      <c r="B37" s="38" t="s">
        <v>58</v>
      </c>
      <c r="C37" s="38" t="s">
        <v>49</v>
      </c>
      <c r="D37" s="39" t="s">
        <v>50</v>
      </c>
      <c r="E37" s="40">
        <v>0.5</v>
      </c>
      <c r="F37" s="22">
        <v>3</v>
      </c>
      <c r="G37" s="41">
        <f t="shared" si="4"/>
        <v>1.5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5">
      <c r="A38" s="1"/>
      <c r="B38" s="38" t="s">
        <v>59</v>
      </c>
      <c r="C38" s="38" t="s">
        <v>49</v>
      </c>
      <c r="D38" s="39" t="s">
        <v>50</v>
      </c>
      <c r="E38" s="40">
        <v>2</v>
      </c>
      <c r="F38" s="22">
        <v>1</v>
      </c>
      <c r="G38" s="41">
        <f t="shared" si="4"/>
        <v>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.75" customHeight="1" x14ac:dyDescent="0.25">
      <c r="A39" s="1"/>
      <c r="B39" s="38" t="s">
        <v>60</v>
      </c>
      <c r="C39" s="38" t="s">
        <v>49</v>
      </c>
      <c r="D39" s="39" t="s">
        <v>50</v>
      </c>
      <c r="E39" s="40">
        <v>1</v>
      </c>
      <c r="F39" s="22">
        <v>2</v>
      </c>
      <c r="G39" s="41">
        <f t="shared" si="4"/>
        <v>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.75" customHeight="1" x14ac:dyDescent="0.25">
      <c r="A40" s="1"/>
      <c r="B40" s="38" t="s">
        <v>61</v>
      </c>
      <c r="C40" s="38" t="s">
        <v>49</v>
      </c>
      <c r="D40" s="39" t="s">
        <v>50</v>
      </c>
      <c r="E40" s="40">
        <v>1</v>
      </c>
      <c r="F40" s="22">
        <v>4</v>
      </c>
      <c r="G40" s="41">
        <f t="shared" si="4"/>
        <v>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38" t="s">
        <v>62</v>
      </c>
      <c r="C41" s="38" t="s">
        <v>49</v>
      </c>
      <c r="D41" s="39" t="s">
        <v>50</v>
      </c>
      <c r="E41" s="41">
        <v>1</v>
      </c>
      <c r="F41" s="22">
        <v>3</v>
      </c>
      <c r="G41" s="41">
        <f t="shared" si="4"/>
        <v>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38" t="s">
        <v>63</v>
      </c>
      <c r="C42" s="38" t="s">
        <v>49</v>
      </c>
      <c r="D42" s="39" t="s">
        <v>50</v>
      </c>
      <c r="E42" s="41">
        <v>1</v>
      </c>
      <c r="F42" s="22">
        <v>2</v>
      </c>
      <c r="G42" s="41">
        <f t="shared" si="4"/>
        <v>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38" t="s">
        <v>64</v>
      </c>
      <c r="C43" s="38" t="s">
        <v>49</v>
      </c>
      <c r="D43" s="39" t="s">
        <v>50</v>
      </c>
      <c r="E43" s="40">
        <v>1</v>
      </c>
      <c r="F43" s="22">
        <v>2</v>
      </c>
      <c r="G43" s="41">
        <f t="shared" si="4"/>
        <v>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.75" customHeight="1" x14ac:dyDescent="0.25">
      <c r="A44" s="1"/>
      <c r="B44" s="74" t="s">
        <v>120</v>
      </c>
      <c r="C44" s="75"/>
      <c r="D44" s="75"/>
      <c r="E44" s="75"/>
      <c r="F44" s="76"/>
      <c r="G44" s="43">
        <f>SUM(G31:G43)</f>
        <v>34.5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75" customHeight="1" x14ac:dyDescent="0.25">
      <c r="A45" s="1"/>
      <c r="B45" s="74" t="s">
        <v>121</v>
      </c>
      <c r="C45" s="75"/>
      <c r="D45" s="75"/>
      <c r="E45" s="75"/>
      <c r="F45" s="76"/>
      <c r="G45" s="36">
        <f>0.6+(0.01*G44)</f>
        <v>0.94500000000000006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.75" customHeight="1" x14ac:dyDescent="0.25">
      <c r="A46" s="1"/>
      <c r="B46" s="27"/>
      <c r="C46" s="3"/>
      <c r="D46" s="3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.75" customHeight="1" x14ac:dyDescent="0.25">
      <c r="A47" s="1"/>
      <c r="B47" s="44"/>
      <c r="C47" s="44"/>
      <c r="D47" s="45"/>
      <c r="E47" s="44"/>
      <c r="F47" s="44"/>
      <c r="G47" s="4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5" t="s">
        <v>67</v>
      </c>
      <c r="B48" s="17" t="s">
        <v>68</v>
      </c>
      <c r="C48" s="17" t="s">
        <v>69</v>
      </c>
      <c r="D48" s="16" t="s">
        <v>70</v>
      </c>
      <c r="E48" s="16" t="s">
        <v>9</v>
      </c>
      <c r="F48" s="16" t="s">
        <v>45</v>
      </c>
      <c r="G48" s="16" t="s">
        <v>46</v>
      </c>
      <c r="H48" s="1" t="s">
        <v>71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25">
      <c r="A49" s="1"/>
      <c r="B49" s="46" t="s">
        <v>72</v>
      </c>
      <c r="C49" s="38" t="s">
        <v>73</v>
      </c>
      <c r="D49" s="39" t="s">
        <v>50</v>
      </c>
      <c r="E49" s="40">
        <v>1.5</v>
      </c>
      <c r="F49" s="22">
        <v>3</v>
      </c>
      <c r="G49" s="41">
        <f t="shared" ref="G49:G56" si="5">E49*F49</f>
        <v>4.5</v>
      </c>
      <c r="H49" s="42" t="s">
        <v>52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46" t="s">
        <v>74</v>
      </c>
      <c r="C50" s="38" t="s">
        <v>73</v>
      </c>
      <c r="D50" s="39" t="s">
        <v>50</v>
      </c>
      <c r="E50" s="40">
        <v>0.5</v>
      </c>
      <c r="F50" s="22">
        <v>2</v>
      </c>
      <c r="G50" s="41">
        <f t="shared" si="5"/>
        <v>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46" t="s">
        <v>75</v>
      </c>
      <c r="C51" s="38" t="s">
        <v>73</v>
      </c>
      <c r="D51" s="39" t="s">
        <v>50</v>
      </c>
      <c r="E51" s="40">
        <v>1</v>
      </c>
      <c r="F51" s="22">
        <v>4</v>
      </c>
      <c r="G51" s="41">
        <f t="shared" si="5"/>
        <v>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46" t="s">
        <v>76</v>
      </c>
      <c r="C52" s="38" t="s">
        <v>73</v>
      </c>
      <c r="D52" s="39" t="s">
        <v>50</v>
      </c>
      <c r="E52" s="40">
        <v>0.5</v>
      </c>
      <c r="F52" s="22">
        <v>3</v>
      </c>
      <c r="G52" s="41">
        <f t="shared" si="5"/>
        <v>1.5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 x14ac:dyDescent="0.25">
      <c r="A53" s="1"/>
      <c r="B53" s="46" t="s">
        <v>77</v>
      </c>
      <c r="C53" s="38" t="s">
        <v>78</v>
      </c>
      <c r="D53" s="39" t="s">
        <v>50</v>
      </c>
      <c r="E53" s="40">
        <v>1</v>
      </c>
      <c r="F53" s="22">
        <v>4</v>
      </c>
      <c r="G53" s="41">
        <f t="shared" si="5"/>
        <v>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46" t="s">
        <v>79</v>
      </c>
      <c r="C54" s="38" t="s">
        <v>80</v>
      </c>
      <c r="D54" s="39" t="s">
        <v>50</v>
      </c>
      <c r="E54" s="40">
        <v>2</v>
      </c>
      <c r="F54" s="22">
        <v>4</v>
      </c>
      <c r="G54" s="41">
        <f t="shared" si="5"/>
        <v>8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46" t="s">
        <v>81</v>
      </c>
      <c r="C55" s="38" t="s">
        <v>82</v>
      </c>
      <c r="D55" s="39" t="s">
        <v>50</v>
      </c>
      <c r="E55" s="40">
        <v>-1</v>
      </c>
      <c r="F55" s="22">
        <v>2</v>
      </c>
      <c r="G55" s="41">
        <f t="shared" si="5"/>
        <v>-2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46" t="s">
        <v>83</v>
      </c>
      <c r="C56" s="38" t="s">
        <v>84</v>
      </c>
      <c r="D56" s="39" t="s">
        <v>50</v>
      </c>
      <c r="E56" s="40">
        <v>-1</v>
      </c>
      <c r="F56" s="22">
        <v>2</v>
      </c>
      <c r="G56" s="41">
        <f t="shared" si="5"/>
        <v>-2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.75" customHeight="1" x14ac:dyDescent="0.25">
      <c r="A57" s="1"/>
      <c r="B57" s="74" t="s">
        <v>85</v>
      </c>
      <c r="C57" s="75"/>
      <c r="D57" s="75"/>
      <c r="E57" s="75"/>
      <c r="F57" s="76"/>
      <c r="G57" s="16">
        <f>SUM(G49:G56)</f>
        <v>19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.75" customHeight="1" x14ac:dyDescent="0.25">
      <c r="A58" s="1"/>
      <c r="B58" s="74" t="s">
        <v>122</v>
      </c>
      <c r="C58" s="75"/>
      <c r="D58" s="75"/>
      <c r="E58" s="75"/>
      <c r="F58" s="76"/>
      <c r="G58" s="16">
        <f>1.4 + (-0.03*G57)</f>
        <v>0.83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.75" customHeight="1" x14ac:dyDescent="0.25">
      <c r="A59" s="1"/>
      <c r="B59" s="25"/>
      <c r="C59" s="47"/>
      <c r="D59" s="48"/>
      <c r="E59" s="47"/>
      <c r="F59" s="49" t="s">
        <v>87</v>
      </c>
      <c r="G59" s="16">
        <f>COUNTIF($F$49:$F$54,"&lt;3")+COUNTIF($F$55:$F$56,"&gt;3")</f>
        <v>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.75" customHeight="1" x14ac:dyDescent="0.25">
      <c r="A60" s="1"/>
      <c r="B60" s="27"/>
      <c r="C60" s="3"/>
      <c r="D60" s="3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.75" customHeight="1" x14ac:dyDescent="0.25">
      <c r="A61" s="1"/>
      <c r="B61" s="1"/>
      <c r="C61" s="1"/>
      <c r="D61" s="2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.75" customHeight="1" x14ac:dyDescent="0.25">
      <c r="A62" s="15" t="s">
        <v>88</v>
      </c>
      <c r="B62" s="77" t="s">
        <v>123</v>
      </c>
      <c r="C62" s="75"/>
      <c r="D62" s="75"/>
      <c r="E62" s="75"/>
      <c r="F62" s="76"/>
      <c r="G62" s="50">
        <f>F24*G45*G58</f>
        <v>32.158350000000006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.75" customHeight="1" x14ac:dyDescent="0.25">
      <c r="A63" s="1"/>
      <c r="B63" s="1"/>
      <c r="C63" s="1"/>
      <c r="D63" s="2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.75" customHeight="1" x14ac:dyDescent="0.25">
      <c r="A64" s="1"/>
      <c r="B64" s="1"/>
      <c r="C64" s="1"/>
      <c r="D64" s="2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51" t="s">
        <v>90</v>
      </c>
      <c r="B65" s="17" t="s">
        <v>91</v>
      </c>
      <c r="C65" s="17" t="s">
        <v>92</v>
      </c>
      <c r="D65" s="17" t="s">
        <v>93</v>
      </c>
      <c r="E65" s="3"/>
      <c r="F65" s="1"/>
      <c r="G65" s="17" t="s">
        <v>94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75" customHeight="1" x14ac:dyDescent="0.25">
      <c r="A66" s="1"/>
      <c r="B66" s="52">
        <v>20</v>
      </c>
      <c r="C66" s="52">
        <f>IF($G$59&gt;=5,36,IF(AND(G$59&gt;2,$G$59&lt;=4),28, IF(AND($G$59&gt;=0,$G$59&lt;=2),20,"error")))</f>
        <v>20</v>
      </c>
      <c r="D66" s="53">
        <f>IF($G$59&gt;=5,$G$66*(36/20),IF(AND($G$59&gt;2,$G$59&lt;=4),$G$66*(28/20), IF(AND($G$59&gt;=0,$G$59&lt;=2),$G$66,"error")))</f>
        <v>2</v>
      </c>
      <c r="E66" s="3"/>
      <c r="F66" s="1"/>
      <c r="G66" s="54">
        <v>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.75" customHeight="1" x14ac:dyDescent="0.25">
      <c r="A67" s="1"/>
      <c r="B67" s="78" t="s">
        <v>95</v>
      </c>
      <c r="C67" s="75"/>
      <c r="D67" s="76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.75" customHeight="1" x14ac:dyDescent="0.25">
      <c r="A68" s="55" t="s">
        <v>96</v>
      </c>
      <c r="B68" s="52">
        <f t="shared" ref="B68:D68" si="6">$G$62*B66</f>
        <v>643.16700000000014</v>
      </c>
      <c r="C68" s="52">
        <f t="shared" si="6"/>
        <v>643.16700000000014</v>
      </c>
      <c r="D68" s="52">
        <f t="shared" si="6"/>
        <v>64.316700000000012</v>
      </c>
      <c r="E68" s="3"/>
      <c r="F68" s="1"/>
      <c r="G68" s="17" t="s">
        <v>97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.75" customHeight="1" x14ac:dyDescent="0.25">
      <c r="A69" s="55" t="s">
        <v>98</v>
      </c>
      <c r="B69" s="56">
        <f t="shared" ref="B69:C69" si="7">B68/(22*8)</f>
        <v>3.6543579545454552</v>
      </c>
      <c r="C69" s="56">
        <f t="shared" si="7"/>
        <v>3.6543579545454552</v>
      </c>
      <c r="D69" s="57">
        <f>D68/(22*G69)</f>
        <v>0.73087159090909104</v>
      </c>
      <c r="E69" s="3"/>
      <c r="F69" s="1"/>
      <c r="G69" s="54">
        <v>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.75" customHeight="1" x14ac:dyDescent="0.25">
      <c r="A70" s="1"/>
      <c r="B70" s="1"/>
      <c r="C70" s="1"/>
      <c r="D70" s="2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.75" customHeight="1" x14ac:dyDescent="0.25">
      <c r="A71" s="1"/>
      <c r="B71" s="1"/>
      <c r="C71" s="1"/>
      <c r="D71" s="1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75" customHeight="1" x14ac:dyDescent="0.25">
      <c r="A72" s="15" t="s">
        <v>99</v>
      </c>
      <c r="B72" s="58" t="s">
        <v>100</v>
      </c>
      <c r="C72" s="59"/>
      <c r="D72" s="48"/>
      <c r="E72" s="47"/>
      <c r="F72" s="60"/>
      <c r="G72" s="6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75" customHeight="1" x14ac:dyDescent="0.25">
      <c r="A73" s="1"/>
      <c r="B73" s="37" t="s">
        <v>101</v>
      </c>
      <c r="C73" s="16" t="s">
        <v>102</v>
      </c>
      <c r="D73" s="50" t="s">
        <v>103</v>
      </c>
      <c r="E73" s="50" t="s">
        <v>104</v>
      </c>
      <c r="F73" s="50" t="s">
        <v>105</v>
      </c>
      <c r="G73" s="50" t="s">
        <v>106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75" customHeight="1" x14ac:dyDescent="0.25">
      <c r="A74" s="1"/>
      <c r="B74" s="61" t="s">
        <v>107</v>
      </c>
      <c r="C74" s="62">
        <v>0.4</v>
      </c>
      <c r="D74" s="56">
        <f t="shared" ref="D74:F74" si="8">$C74/$C$74*B$69</f>
        <v>3.6543579545454552</v>
      </c>
      <c r="E74" s="56">
        <f t="shared" si="8"/>
        <v>3.6543579545454552</v>
      </c>
      <c r="F74" s="56">
        <f t="shared" si="8"/>
        <v>0.73087159090909104</v>
      </c>
      <c r="G74" s="56">
        <f>D68</f>
        <v>64.316700000000012</v>
      </c>
      <c r="H74" s="1"/>
      <c r="I74" s="1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75" customHeight="1" x14ac:dyDescent="0.25">
      <c r="A75" s="1"/>
      <c r="B75" s="61" t="s">
        <v>108</v>
      </c>
      <c r="C75" s="62">
        <f>1-C74</f>
        <v>0.6</v>
      </c>
      <c r="D75" s="52">
        <f t="shared" ref="D75:F75" si="9">$C75/$C$74*B$69</f>
        <v>5.4815369318181819</v>
      </c>
      <c r="E75" s="52">
        <f t="shared" si="9"/>
        <v>5.4815369318181819</v>
      </c>
      <c r="F75" s="52">
        <f t="shared" si="9"/>
        <v>1.0963073863636363</v>
      </c>
      <c r="G75" s="52">
        <f>D68*1.5</f>
        <v>96.47505000000001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.75" customHeight="1" x14ac:dyDescent="0.25">
      <c r="A76" s="1"/>
      <c r="B76" s="63"/>
      <c r="C76" s="62">
        <f>SUM(C74:C75)</f>
        <v>1</v>
      </c>
      <c r="D76" s="56">
        <f t="shared" ref="D76:F76" si="10">$C76/$C$74*B$69</f>
        <v>9.1358948863636371</v>
      </c>
      <c r="E76" s="56">
        <f t="shared" si="10"/>
        <v>9.1358948863636371</v>
      </c>
      <c r="F76" s="56">
        <f t="shared" si="10"/>
        <v>1.8271789772727276</v>
      </c>
      <c r="G76" s="56">
        <f>G74+G75</f>
        <v>160.79175000000004</v>
      </c>
      <c r="H76" s="1"/>
      <c r="I76" s="1"/>
      <c r="J76" s="15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75" customHeight="1" x14ac:dyDescent="0.25">
      <c r="A77" s="1"/>
      <c r="B77" s="1"/>
      <c r="C77" s="1"/>
      <c r="D77" s="2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.75" customHeight="1" x14ac:dyDescent="0.25">
      <c r="A78" s="15" t="s">
        <v>109</v>
      </c>
      <c r="B78" s="22">
        <v>4</v>
      </c>
      <c r="C78" s="1"/>
      <c r="D78" s="2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75" customHeight="1" x14ac:dyDescent="0.25">
      <c r="A79" s="1"/>
      <c r="B79" s="1"/>
      <c r="C79" s="1"/>
      <c r="D79" s="2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75" customHeight="1" x14ac:dyDescent="0.25">
      <c r="A80" s="15" t="s">
        <v>110</v>
      </c>
      <c r="B80" s="50" t="s">
        <v>111</v>
      </c>
      <c r="C80" s="50" t="s">
        <v>112</v>
      </c>
      <c r="D80" s="50" t="s">
        <v>113</v>
      </c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75" customHeight="1" x14ac:dyDescent="0.25">
      <c r="A81" s="64"/>
      <c r="B81" s="65">
        <f>$D$76/$B$78</f>
        <v>2.2839737215909093</v>
      </c>
      <c r="C81" s="65">
        <f>$E$76/$B$78</f>
        <v>2.2839737215909093</v>
      </c>
      <c r="D81" s="65">
        <f>$F$76/$B$78</f>
        <v>0.4567947443181819</v>
      </c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5.75" customHeight="1" x14ac:dyDescent="0.25">
      <c r="A82" s="64"/>
      <c r="B82" s="64"/>
      <c r="C82" s="64"/>
      <c r="D82" s="64"/>
      <c r="E82" s="66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15.75" customHeight="1" x14ac:dyDescent="0.25">
      <c r="A83" s="64"/>
      <c r="B83" s="64"/>
      <c r="C83" s="64"/>
      <c r="D83" s="64"/>
      <c r="E83" s="66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5.75" customHeight="1" x14ac:dyDescent="0.25">
      <c r="A84" s="67" t="s">
        <v>124</v>
      </c>
      <c r="B84" s="68" t="s">
        <v>125</v>
      </c>
      <c r="C84" s="68" t="s">
        <v>125</v>
      </c>
      <c r="D84" s="69" t="s">
        <v>125</v>
      </c>
      <c r="E84" s="70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5.75" customHeight="1" x14ac:dyDescent="0.25">
      <c r="A85" s="72">
        <v>45968</v>
      </c>
      <c r="B85" s="73">
        <f>EDATE(A85,INT(B81)) + (B81-INT(B81))*DAY(EDATE(A85,INT(B81)+1)-EDATE(A85,INT(B81)))</f>
        <v>46037.803185369317</v>
      </c>
      <c r="C85" s="73">
        <f>EDATE(A85,INT(C81)) + (C81-INT(C81))*DAY(EDATE(A85,INT(C81)+1)-EDATE(A85,INT(C81)))</f>
        <v>46037.803185369317</v>
      </c>
      <c r="D85" s="73">
        <f>EDATE(A85,INT(D81)) + (D81-INT(D81))*DAY(EDATE(A85,INT(D81)+1)-EDATE(A85,INT(D81)))</f>
        <v>45981.703842329545</v>
      </c>
      <c r="E85" s="70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5.75" customHeight="1" x14ac:dyDescent="0.25">
      <c r="A86" s="64"/>
      <c r="B86" s="64"/>
      <c r="C86" s="64"/>
      <c r="D86" s="64"/>
      <c r="E86" s="66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5.75" customHeight="1" x14ac:dyDescent="0.25">
      <c r="A87" s="64"/>
      <c r="B87" s="64"/>
      <c r="C87" s="64"/>
      <c r="D87" s="64"/>
      <c r="E87" s="66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5.75" customHeight="1" x14ac:dyDescent="0.25">
      <c r="A88" s="64"/>
      <c r="B88" s="64"/>
      <c r="C88" s="64"/>
      <c r="D88" s="64"/>
      <c r="E88" s="66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5.75" customHeight="1" x14ac:dyDescent="0.25">
      <c r="A89" s="64"/>
      <c r="B89" s="64"/>
      <c r="C89" s="64"/>
      <c r="D89" s="64"/>
      <c r="E89" s="66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5.75" customHeight="1" x14ac:dyDescent="0.25">
      <c r="A90" s="64"/>
      <c r="B90" s="64"/>
      <c r="C90" s="64"/>
      <c r="D90" s="64"/>
      <c r="E90" s="66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5.75" customHeight="1" x14ac:dyDescent="0.25">
      <c r="A91" s="64"/>
      <c r="B91" s="64"/>
      <c r="C91" s="64"/>
      <c r="D91" s="64"/>
      <c r="E91" s="66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5.75" customHeight="1" x14ac:dyDescent="0.25">
      <c r="A92" s="64"/>
      <c r="B92" s="64"/>
      <c r="C92" s="64"/>
      <c r="D92" s="64"/>
      <c r="E92" s="66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5.75" customHeight="1" x14ac:dyDescent="0.25">
      <c r="A93" s="64"/>
      <c r="B93" s="64"/>
      <c r="C93" s="64"/>
      <c r="D93" s="64"/>
      <c r="E93" s="66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5.75" customHeight="1" x14ac:dyDescent="0.25">
      <c r="A94" s="64"/>
      <c r="B94" s="64"/>
      <c r="C94" s="64"/>
      <c r="D94" s="64"/>
      <c r="E94" s="66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5.75" customHeight="1" x14ac:dyDescent="0.25">
      <c r="A95" s="64"/>
      <c r="B95" s="64"/>
      <c r="C95" s="64"/>
      <c r="D95" s="64"/>
      <c r="E95" s="66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5.75" customHeight="1" x14ac:dyDescent="0.25">
      <c r="A96" s="64"/>
      <c r="B96" s="64"/>
      <c r="C96" s="64"/>
      <c r="D96" s="64"/>
      <c r="E96" s="66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5.75" customHeight="1" x14ac:dyDescent="0.25">
      <c r="A97" s="64"/>
      <c r="B97" s="64"/>
      <c r="C97" s="64"/>
      <c r="D97" s="64"/>
      <c r="E97" s="66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5.75" customHeight="1" x14ac:dyDescent="0.25">
      <c r="A98" s="1"/>
      <c r="B98" s="1"/>
      <c r="C98" s="1"/>
      <c r="D98" s="2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2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2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2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2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2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2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0">
    <mergeCell ref="B58:F58"/>
    <mergeCell ref="B62:F62"/>
    <mergeCell ref="B67:D67"/>
    <mergeCell ref="B2:G2"/>
    <mergeCell ref="C13:F13"/>
    <mergeCell ref="C20:E20"/>
    <mergeCell ref="C24:E24"/>
    <mergeCell ref="B44:F44"/>
    <mergeCell ref="B45:F45"/>
    <mergeCell ref="B57:F57"/>
  </mergeCells>
  <dataValidations count="2">
    <dataValidation type="list" allowBlank="1" showErrorMessage="1" sqref="C8:C12" xr:uid="{00000000-0002-0000-0200-000000000000}">
      <formula1>"Simple,Intermedio,Complejo"</formula1>
    </dataValidation>
    <dataValidation type="decimal" allowBlank="1" showInputMessage="1" showErrorMessage="1" prompt="Entre 1 y 9 personas." sqref="B78" xr:uid="{00000000-0002-0000-0200-000001000000}">
      <formula1>1</formula1>
      <formula2>9</formula2>
    </dataValidation>
  </dataValidations>
  <hyperlinks>
    <hyperlink ref="H31" r:id="rId1" location="v=onepage&amp;q=e7%20part-time%20members&amp;f=false" xr:uid="{00000000-0004-0000-0200-000000000000}"/>
    <hyperlink ref="H49" r:id="rId2" location="v=onepage&amp;q=e7%20part-time%20members&amp;f=false" xr:uid="{00000000-0004-0000-0200-000001000000}"/>
  </hyperlinks>
  <pageMargins left="0.75" right="0.75" top="1" bottom="1" header="0" footer="0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Caso Probable</vt:lpstr>
      <vt:lpstr>Peor Caso</vt:lpstr>
      <vt:lpstr>Mejor Caso</vt:lpstr>
      <vt:lpstr>'Caso Probable'!solver_opt</vt:lpstr>
      <vt:lpstr>'Mejor Caso'!solver_opt</vt:lpstr>
      <vt:lpstr>'Peor Caso'!solver_opt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Carranza</cp:lastModifiedBy>
  <dcterms:created xsi:type="dcterms:W3CDTF">2021-09-16T15:20:38Z</dcterms:created>
  <dcterms:modified xsi:type="dcterms:W3CDTF">2025-11-07T16:20:58Z</dcterms:modified>
</cp:coreProperties>
</file>