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POSITORIOS\grcu-manager\3-CONSTRUCCION\ITERACIÓN 3\38. Estimación [3]-Fase [3]\"/>
    </mc:Choice>
  </mc:AlternateContent>
  <xr:revisionPtr revIDLastSave="0" documentId="13_ncr:1_{B1CF3A67-E481-4E5F-AAEE-1BE77227C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o Probable" sheetId="1" r:id="rId1"/>
  </sheets>
  <definedNames>
    <definedName name="solver_eng" localSheetId="0">1</definedName>
    <definedName name="solver_neg" localSheetId="0">1</definedName>
    <definedName name="solver_num" localSheetId="0">0</definedName>
    <definedName name="solver_opt" localSheetId="0">'Caso Probable'!$D$66</definedName>
    <definedName name="solver_typ" localSheetId="0">1</definedName>
    <definedName name="solver_val" localSheetId="0">0</definedName>
    <definedName name="solver_ver" localSheetId="0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1GzarPVYEuXjww6p5IXw5gA0QCrNr3t44KxhwSBl5k="/>
    </ext>
  </extLst>
</workbook>
</file>

<file path=xl/calcChain.xml><?xml version="1.0" encoding="utf-8"?>
<calcChain xmlns="http://schemas.openxmlformats.org/spreadsheetml/2006/main">
  <c r="C75" i="1" l="1"/>
  <c r="G59" i="1"/>
  <c r="D66" i="1" s="1"/>
  <c r="G56" i="1"/>
  <c r="G55" i="1"/>
  <c r="G54" i="1"/>
  <c r="G53" i="1"/>
  <c r="G52" i="1"/>
  <c r="G51" i="1"/>
  <c r="G50" i="1"/>
  <c r="G49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F19" i="1"/>
  <c r="E19" i="1"/>
  <c r="F18" i="1"/>
  <c r="E18" i="1"/>
  <c r="F17" i="1"/>
  <c r="F20" i="1" s="1"/>
  <c r="E17" i="1"/>
  <c r="E12" i="1"/>
  <c r="G12" i="1" s="1"/>
  <c r="E11" i="1"/>
  <c r="G11" i="1" s="1"/>
  <c r="E10" i="1"/>
  <c r="G10" i="1" s="1"/>
  <c r="E9" i="1"/>
  <c r="G9" i="1" s="1"/>
  <c r="E8" i="1"/>
  <c r="G8" i="1" s="1"/>
  <c r="G13" i="1" l="1"/>
  <c r="G44" i="1"/>
  <c r="G45" i="1" s="1"/>
  <c r="G57" i="1"/>
  <c r="G58" i="1" s="1"/>
  <c r="F24" i="1"/>
  <c r="G62" i="1" s="1"/>
  <c r="C66" i="1"/>
  <c r="C76" i="1"/>
  <c r="D68" i="1" l="1"/>
  <c r="C68" i="1"/>
  <c r="C69" i="1" s="1"/>
  <c r="B68" i="1"/>
  <c r="B69" i="1" s="1"/>
  <c r="D74" i="1" l="1"/>
  <c r="D75" i="1"/>
  <c r="E74" i="1"/>
  <c r="E75" i="1"/>
  <c r="G75" i="1"/>
  <c r="G74" i="1"/>
  <c r="D69" i="1"/>
  <c r="D76" i="1"/>
  <c r="B81" i="1" s="1"/>
  <c r="B85" i="1" s="1"/>
  <c r="E76" i="1"/>
  <c r="C81" i="1" s="1"/>
  <c r="C85" i="1" s="1"/>
  <c r="F74" i="1" l="1"/>
  <c r="F75" i="1"/>
  <c r="F76" i="1"/>
  <c r="D81" i="1" s="1"/>
  <c r="D85" i="1" s="1"/>
  <c r="G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1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2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3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4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35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36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37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3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39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0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1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2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3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49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0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1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2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3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5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5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2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5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78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R2fcGCUotevhcokOeDvo+zhlgw=="/>
    </ext>
  </extLst>
</comments>
</file>

<file path=xl/sharedStrings.xml><?xml version="1.0" encoding="utf-8"?>
<sst xmlns="http://schemas.openxmlformats.org/spreadsheetml/2006/main" count="161" uniqueCount="116">
  <si>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</si>
  <si>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</si>
  <si>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</si>
  <si>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</si>
  <si>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</si>
  <si>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</si>
  <si>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</si>
  <si>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</si>
  <si>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</si>
  <si>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</si>
  <si>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</si>
  <si>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</si>
  <si>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Docente Administrador</t>
  </si>
  <si>
    <t>Complejo</t>
  </si>
  <si>
    <t>Encargado de la gestión de usuarios y creación de proyectos</t>
  </si>
  <si>
    <t>Desarrollador</t>
  </si>
  <si>
    <t>Encargado de la gestión de requerimientos y casos de usos</t>
  </si>
  <si>
    <t>Lider de proyecto</t>
  </si>
  <si>
    <t>Intermedio</t>
  </si>
  <si>
    <t>Integrante designado para coordinar el equipo. Define metodología, valida requerimientos, prioriza y consolida informes.</t>
  </si>
  <si>
    <t>Visitante</t>
  </si>
  <si>
    <t>Simple</t>
  </si>
  <si>
    <t xml:space="preserve">Navega por el sistema y solicita reportes </t>
  </si>
  <si>
    <t>Cliente</t>
  </si>
  <si>
    <t>Navega en el sistema, permitiéndole adjuntar documentos o archivos externos y  validar los requerimientos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</si>
  <si>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</si>
  <si>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</si>
  <si>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</si>
  <si>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</si>
  <si>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</si>
  <si>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</si>
  <si>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</si>
  <si>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1 Pantalla, 1 extensión, 1 BD</t>
  </si>
  <si>
    <t>CU13: Comentar requerimiento</t>
  </si>
  <si>
    <t>1 Pantalla, 2 extensión, 1 BD</t>
  </si>
  <si>
    <t>CU14: Adjuntar archivo al comentario</t>
  </si>
  <si>
    <t>1 Pantalla, 3 extensión, 1 BD</t>
  </si>
  <si>
    <t>CU16: Generar Informe</t>
  </si>
  <si>
    <t xml:space="preserve">Peso Total CU, sin ajustar (UUCW) </t>
  </si>
  <si>
    <t>3. PCU SIN AJUSTE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</si>
  <si>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</si>
  <si>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</si>
  <si>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</si>
  <si>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</si>
  <si>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</si>
  <si>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</si>
  <si>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</si>
  <si>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</si>
  <si>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</si>
  <si>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</si>
  <si>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</si>
  <si>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</si>
  <si>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</si>
  <si>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</si>
  <si>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</si>
  <si>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</si>
  <si>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</si>
  <si>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</si>
  <si>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</si>
  <si>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</si>
  <si>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</si>
  <si>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</si>
  <si>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</si>
  <si>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</si>
  <si>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</si>
  <si>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</si>
  <si>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</si>
  <si>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</si>
  <si>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</si>
  <si>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</si>
  <si>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</si>
  <si>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</si>
  <si>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</si>
  <si>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</si>
  <si>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</si>
  <si>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</si>
  <si>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</si>
  <si>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</si>
  <si>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</si>
  <si>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</si>
  <si>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</si>
  <si>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</si>
  <si>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</si>
  <si>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</si>
  <si>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</si>
  <si>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</si>
  <si>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</si>
  <si>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</si>
  <si>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</si>
  <si>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</si>
  <si>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</si>
  <si>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</si>
  <si>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</si>
  <si>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</si>
  <si>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</si>
  <si>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</si>
  <si>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</si>
  <si>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</si>
  <si>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</si>
  <si>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</si>
  <si>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</si>
  <si>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</si>
  <si>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</si>
  <si>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</si>
  <si>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</si>
  <si>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</si>
  <si>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Propia
(h-h)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</si>
  <si>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</si>
  <si>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</si>
  <si>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</si>
  <si>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</si>
  <si>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</si>
  <si>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</si>
  <si>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</si>
  <si>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t>11. FECHA ESTIMACIÓN</t>
  </si>
  <si>
    <t>FECHA FINALIZACIÓN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</si>
</sst>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rgb="FF3F3F76"/>
      <name val="Calibri"/>
    </font>
    <font>
      <b/>
      <sz val="12"/>
      <color rgb="FFFA7D00"/>
      <name val="Calibri"/>
    </font>
    <font>
      <b/>
      <sz val="12"/>
      <color rgb="FF3F3F3F"/>
      <name val="Calibri"/>
    </font>
    <font>
      <u/>
      <sz val="10"/>
      <color theme="10"/>
      <name val="Arial"/>
    </font>
    <font>
      <b/>
      <sz val="11"/>
      <color rgb="FFFA7D00"/>
      <name val="Calibri"/>
    </font>
    <font>
      <b/>
      <sz val="12"/>
      <color rgb="FF002060"/>
      <name val="Calibri"/>
    </font>
    <font>
      <b/>
      <sz val="12"/>
      <color rgb="FF3F3F76"/>
      <name val="Calibri"/>
    </font>
    <font>
      <b/>
      <sz val="12"/>
      <color rgb="FFFF0000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3F3F7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0" tint="-0.14999847407452621"/>
        <bgColor rgb="FFFFCC9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9" fontId="11" fillId="3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13" fillId="0" borderId="0" xfId="0" applyNumberFormat="1" applyFont="1" applyAlignment="1">
      <alignment vertical="center" wrapText="1"/>
    </xf>
    <xf numFmtId="164" fontId="13" fillId="2" borderId="9" xfId="0" applyNumberFormat="1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center" vertical="center" wrapText="1"/>
    </xf>
    <xf numFmtId="2" fontId="14" fillId="0" borderId="0" xfId="0" applyNumberFormat="1" applyFont="1" applyAlignment="1">
      <alignment horizontal="right" vertical="center" wrapText="1"/>
    </xf>
    <xf numFmtId="2" fontId="14" fillId="0" borderId="0" xfId="0" applyNumberFormat="1" applyFont="1" applyAlignment="1">
      <alignment vertical="center" wrapText="1"/>
    </xf>
    <xf numFmtId="14" fontId="15" fillId="3" borderId="9" xfId="0" applyNumberFormat="1" applyFont="1" applyFill="1" applyBorder="1" applyAlignment="1">
      <alignment horizontal="center" vertical="center" wrapText="1"/>
    </xf>
    <xf numFmtId="14" fontId="15" fillId="7" borderId="9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64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00075" y="20471466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3" zoomScale="85" zoomScaleNormal="85" workbookViewId="0">
      <selection activeCell="D81" sqref="D81"/>
    </sheetView>
  </sheetViews>
  <sheetFormatPr baseColWidth="10" defaultColWidth="12.7109375" defaultRowHeight="15" customHeight="1" x14ac:dyDescent="0.2"/>
  <cols>
    <col min="1" max="1" width="27.7109375" customWidth="1"/>
    <col min="2" max="2" width="51.140625" customWidth="1"/>
    <col min="3" max="3" width="42.7109375" customWidth="1"/>
    <col min="4" max="4" width="38.7109375" customWidth="1"/>
    <col min="5" max="5" width="13.7109375" customWidth="1"/>
    <col min="6" max="6" width="16.140625" customWidth="1"/>
    <col min="7" max="7" width="16.7109375" customWidth="1"/>
    <col min="8" max="8" width="34.28515625" customWidth="1"/>
    <col min="9" max="9" width="10.710937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9" t="s">
        <v>0</v>
      </c>
      <c r="C2" s="75"/>
      <c r="D2" s="75"/>
      <c r="E2" s="75"/>
      <c r="F2" s="75"/>
      <c r="G2" s="76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24"/>
      <c r="C13" s="74" t="s">
        <v>25</v>
      </c>
      <c r="D13" s="75"/>
      <c r="E13" s="75"/>
      <c r="F13" s="76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6" customHeight="1" x14ac:dyDescent="0.2">
      <c r="A17" s="1"/>
      <c r="B17" s="32" t="s">
        <v>33</v>
      </c>
      <c r="C17" s="33" t="s">
        <v>34</v>
      </c>
      <c r="D17" s="33">
        <v>4</v>
      </c>
      <c r="E17" s="34" t="str">
        <f t="shared" ref="E17:E19" si="2">IF($D17&gt;0,IF($D17&lt;=3,"Simple",IF(AND($D17&gt;3,$D17&lt;7),"Intermedio",IF($D17&gt;=7,"Complejo","error"))),"-")</f>
        <v>Intermedio</v>
      </c>
      <c r="F17" s="21">
        <f t="shared" ref="F17:F19" si="3">IF($D17&gt;0,IF($D17&lt;=3,5,IF(AND($D17&gt;3,$D17&lt;7),10,IF($D17&gt;=7,15,"error"))),0)</f>
        <v>10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2" t="s">
        <v>35</v>
      </c>
      <c r="C18" s="33" t="s">
        <v>36</v>
      </c>
      <c r="D18" s="33">
        <v>4</v>
      </c>
      <c r="E18" s="34" t="str">
        <f t="shared" si="2"/>
        <v>Intermedio</v>
      </c>
      <c r="F18" s="21">
        <f t="shared" si="3"/>
        <v>10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2" t="s">
        <v>37</v>
      </c>
      <c r="C19" s="33" t="s">
        <v>32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5"/>
      <c r="C20" s="80" t="s">
        <v>38</v>
      </c>
      <c r="D20" s="81"/>
      <c r="E20" s="82"/>
      <c r="F20" s="36">
        <f>SUM(F17:F19)</f>
        <v>25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5" t="s">
        <v>39</v>
      </c>
      <c r="B24" s="37"/>
      <c r="C24" s="74" t="s">
        <v>40</v>
      </c>
      <c r="D24" s="75"/>
      <c r="E24" s="76"/>
      <c r="F24" s="26">
        <f>G13+F20</f>
        <v>41</v>
      </c>
      <c r="G24" s="1"/>
      <c r="H24" s="15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">
      <c r="G27" s="1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5" t="s">
        <v>41</v>
      </c>
      <c r="B30" s="17" t="s">
        <v>42</v>
      </c>
      <c r="C30" s="17" t="s">
        <v>43</v>
      </c>
      <c r="D30" s="16" t="s">
        <v>44</v>
      </c>
      <c r="E30" s="16" t="s">
        <v>9</v>
      </c>
      <c r="F30" s="16" t="s">
        <v>45</v>
      </c>
      <c r="G30" s="16" t="s">
        <v>46</v>
      </c>
      <c r="H30" s="1" t="s">
        <v>47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7.75" customHeight="1" x14ac:dyDescent="0.2">
      <c r="A31" s="1"/>
      <c r="B31" s="38" t="s">
        <v>48</v>
      </c>
      <c r="C31" s="38" t="s">
        <v>49</v>
      </c>
      <c r="D31" s="39" t="s">
        <v>50</v>
      </c>
      <c r="E31" s="40" t="s">
        <v>51</v>
      </c>
      <c r="F31" s="22">
        <v>0</v>
      </c>
      <c r="G31" s="41">
        <f t="shared" ref="G31:G43" si="4">E31*F31</f>
        <v>0</v>
      </c>
      <c r="H31" s="42" t="s">
        <v>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38" t="s">
        <v>53</v>
      </c>
      <c r="C32" s="38" t="s">
        <v>49</v>
      </c>
      <c r="D32" s="39" t="s">
        <v>50</v>
      </c>
      <c r="E32" s="41">
        <v>2</v>
      </c>
      <c r="F32" s="22">
        <v>3</v>
      </c>
      <c r="G32" s="41">
        <f t="shared" si="4"/>
        <v>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38" t="s">
        <v>54</v>
      </c>
      <c r="C33" s="38" t="s">
        <v>49</v>
      </c>
      <c r="D33" s="39" t="s">
        <v>50</v>
      </c>
      <c r="E33" s="41">
        <v>1</v>
      </c>
      <c r="F33" s="22">
        <v>5</v>
      </c>
      <c r="G33" s="41">
        <f t="shared" si="4"/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38" t="s">
        <v>55</v>
      </c>
      <c r="C34" s="38" t="s">
        <v>49</v>
      </c>
      <c r="D34" s="39" t="s">
        <v>50</v>
      </c>
      <c r="E34" s="41">
        <v>1</v>
      </c>
      <c r="F34" s="22">
        <v>4</v>
      </c>
      <c r="G34" s="41">
        <f t="shared" si="4"/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8" t="s">
        <v>56</v>
      </c>
      <c r="C35" s="38" t="s">
        <v>49</v>
      </c>
      <c r="D35" s="39" t="s">
        <v>50</v>
      </c>
      <c r="E35" s="40">
        <v>1</v>
      </c>
      <c r="F35" s="22">
        <v>2</v>
      </c>
      <c r="G35" s="41">
        <f t="shared" si="4"/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8" t="s">
        <v>57</v>
      </c>
      <c r="C36" s="38" t="s">
        <v>49</v>
      </c>
      <c r="D36" s="39" t="s">
        <v>50</v>
      </c>
      <c r="E36" s="40">
        <v>0.5</v>
      </c>
      <c r="F36" s="22">
        <v>2</v>
      </c>
      <c r="G36" s="41">
        <f t="shared" si="4"/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8" t="s">
        <v>58</v>
      </c>
      <c r="C37" s="38" t="s">
        <v>49</v>
      </c>
      <c r="D37" s="39" t="s">
        <v>50</v>
      </c>
      <c r="E37" s="40">
        <v>0.5</v>
      </c>
      <c r="F37" s="22">
        <v>3</v>
      </c>
      <c r="G37" s="41">
        <f t="shared" si="4"/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8" t="s">
        <v>59</v>
      </c>
      <c r="C38" s="38" t="s">
        <v>49</v>
      </c>
      <c r="D38" s="39" t="s">
        <v>50</v>
      </c>
      <c r="E38" s="40">
        <v>2</v>
      </c>
      <c r="F38" s="22">
        <v>1</v>
      </c>
      <c r="G38" s="41">
        <f t="shared" si="4"/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38" t="s">
        <v>60</v>
      </c>
      <c r="C39" s="38" t="s">
        <v>49</v>
      </c>
      <c r="D39" s="39" t="s">
        <v>50</v>
      </c>
      <c r="E39" s="40">
        <v>1</v>
      </c>
      <c r="F39" s="22">
        <v>2</v>
      </c>
      <c r="G39" s="41">
        <f t="shared" si="4"/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8" t="s">
        <v>61</v>
      </c>
      <c r="C40" s="38" t="s">
        <v>49</v>
      </c>
      <c r="D40" s="39" t="s">
        <v>50</v>
      </c>
      <c r="E40" s="40">
        <v>1</v>
      </c>
      <c r="F40" s="22">
        <v>4</v>
      </c>
      <c r="G40" s="41">
        <f t="shared" si="4"/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38" t="s">
        <v>62</v>
      </c>
      <c r="C41" s="38" t="s">
        <v>49</v>
      </c>
      <c r="D41" s="39" t="s">
        <v>50</v>
      </c>
      <c r="E41" s="41">
        <v>1</v>
      </c>
      <c r="F41" s="22">
        <v>3</v>
      </c>
      <c r="G41" s="41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38" t="s">
        <v>63</v>
      </c>
      <c r="C42" s="38" t="s">
        <v>49</v>
      </c>
      <c r="D42" s="39" t="s">
        <v>50</v>
      </c>
      <c r="E42" s="41">
        <v>1</v>
      </c>
      <c r="F42" s="22">
        <v>2</v>
      </c>
      <c r="G42" s="41">
        <f t="shared" si="4"/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38" t="s">
        <v>64</v>
      </c>
      <c r="C43" s="38" t="s">
        <v>49</v>
      </c>
      <c r="D43" s="39" t="s">
        <v>50</v>
      </c>
      <c r="E43" s="40">
        <v>1</v>
      </c>
      <c r="F43" s="22">
        <v>2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74" t="s">
        <v>65</v>
      </c>
      <c r="C44" s="75"/>
      <c r="D44" s="75"/>
      <c r="E44" s="75"/>
      <c r="F44" s="76"/>
      <c r="G44" s="43">
        <f>SUM(G31:G43)</f>
        <v>34.5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74" t="s">
        <v>66</v>
      </c>
      <c r="C45" s="75"/>
      <c r="D45" s="75"/>
      <c r="E45" s="75"/>
      <c r="F45" s="76"/>
      <c r="G45" s="36">
        <f>0.6+(0.01*G44)</f>
        <v>0.94500000000000006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27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">
      <c r="A47" s="1"/>
      <c r="B47" s="44"/>
      <c r="C47" s="44"/>
      <c r="D47" s="45"/>
      <c r="E47" s="44"/>
      <c r="F47" s="44"/>
      <c r="G47" s="4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5" t="s">
        <v>67</v>
      </c>
      <c r="B48" s="17" t="s">
        <v>68</v>
      </c>
      <c r="C48" s="17" t="s">
        <v>69</v>
      </c>
      <c r="D48" s="16" t="s">
        <v>70</v>
      </c>
      <c r="E48" s="16" t="s">
        <v>9</v>
      </c>
      <c r="F48" s="16" t="s">
        <v>45</v>
      </c>
      <c r="G48" s="16" t="s">
        <v>46</v>
      </c>
      <c r="H48" s="1" t="s">
        <v>71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">
      <c r="A49" s="1"/>
      <c r="B49" s="46" t="s">
        <v>72</v>
      </c>
      <c r="C49" s="38" t="s">
        <v>73</v>
      </c>
      <c r="D49" s="39" t="s">
        <v>50</v>
      </c>
      <c r="E49" s="40">
        <v>1.5</v>
      </c>
      <c r="F49" s="22">
        <v>3</v>
      </c>
      <c r="G49" s="41">
        <f t="shared" ref="G49:G56" si="5">E49*F49</f>
        <v>4.5</v>
      </c>
      <c r="H49" s="42" t="s">
        <v>52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46" t="s">
        <v>74</v>
      </c>
      <c r="C50" s="38" t="s">
        <v>73</v>
      </c>
      <c r="D50" s="39" t="s">
        <v>50</v>
      </c>
      <c r="E50" s="40">
        <v>0.5</v>
      </c>
      <c r="F50" s="22">
        <v>2</v>
      </c>
      <c r="G50" s="41">
        <f t="shared" si="5"/>
        <v>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46" t="s">
        <v>75</v>
      </c>
      <c r="C51" s="38" t="s">
        <v>73</v>
      </c>
      <c r="D51" s="39" t="s">
        <v>50</v>
      </c>
      <c r="E51" s="40">
        <v>1</v>
      </c>
      <c r="F51" s="22">
        <v>4</v>
      </c>
      <c r="G51" s="41">
        <f t="shared" si="5"/>
        <v>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46" t="s">
        <v>76</v>
      </c>
      <c r="C52" s="38" t="s">
        <v>73</v>
      </c>
      <c r="D52" s="39" t="s">
        <v>50</v>
      </c>
      <c r="E52" s="40">
        <v>0.5</v>
      </c>
      <c r="F52" s="22">
        <v>3</v>
      </c>
      <c r="G52" s="41">
        <f t="shared" si="5"/>
        <v>1.5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">
      <c r="A53" s="1"/>
      <c r="B53" s="46" t="s">
        <v>77</v>
      </c>
      <c r="C53" s="38" t="s">
        <v>78</v>
      </c>
      <c r="D53" s="39" t="s">
        <v>50</v>
      </c>
      <c r="E53" s="40">
        <v>1</v>
      </c>
      <c r="F53" s="22">
        <v>5</v>
      </c>
      <c r="G53" s="41">
        <f t="shared" si="5"/>
        <v>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46" t="s">
        <v>79</v>
      </c>
      <c r="C54" s="38" t="s">
        <v>80</v>
      </c>
      <c r="D54" s="39" t="s">
        <v>50</v>
      </c>
      <c r="E54" s="40">
        <v>2</v>
      </c>
      <c r="F54" s="22">
        <v>4</v>
      </c>
      <c r="G54" s="41">
        <f t="shared" si="5"/>
        <v>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6" t="s">
        <v>81</v>
      </c>
      <c r="C55" s="38" t="s">
        <v>82</v>
      </c>
      <c r="D55" s="39" t="s">
        <v>50</v>
      </c>
      <c r="E55" s="40">
        <v>-1</v>
      </c>
      <c r="F55" s="22">
        <v>4</v>
      </c>
      <c r="G55" s="41">
        <f t="shared" si="5"/>
        <v>-4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6" t="s">
        <v>83</v>
      </c>
      <c r="C56" s="38" t="s">
        <v>84</v>
      </c>
      <c r="D56" s="39" t="s">
        <v>50</v>
      </c>
      <c r="E56" s="40">
        <v>-1</v>
      </c>
      <c r="F56" s="22">
        <v>4</v>
      </c>
      <c r="G56" s="41">
        <f t="shared" si="5"/>
        <v>-4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74" t="s">
        <v>85</v>
      </c>
      <c r="C57" s="75"/>
      <c r="D57" s="75"/>
      <c r="E57" s="75"/>
      <c r="F57" s="76"/>
      <c r="G57" s="16">
        <f>SUM(G49:G56)</f>
        <v>16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74" t="s">
        <v>86</v>
      </c>
      <c r="C58" s="75"/>
      <c r="D58" s="75"/>
      <c r="E58" s="75"/>
      <c r="F58" s="76"/>
      <c r="G58" s="16">
        <f>1.4 + (-0.03*G57)</f>
        <v>0.91999999999999993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25"/>
      <c r="C59" s="47"/>
      <c r="D59" s="48"/>
      <c r="E59" s="47"/>
      <c r="F59" s="49" t="s">
        <v>87</v>
      </c>
      <c r="G59" s="16">
        <f>COUNTIF($F$49:$F$54,"&lt;3")+COUNTIF($F$55:$F$56,"&gt;3")</f>
        <v>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27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5" t="s">
        <v>88</v>
      </c>
      <c r="B62" s="77" t="s">
        <v>89</v>
      </c>
      <c r="C62" s="75"/>
      <c r="D62" s="75"/>
      <c r="E62" s="75"/>
      <c r="F62" s="76"/>
      <c r="G62" s="50">
        <f>F24*G45*G58</f>
        <v>35.645400000000002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51" t="s">
        <v>90</v>
      </c>
      <c r="B65" s="17" t="s">
        <v>91</v>
      </c>
      <c r="C65" s="17" t="s">
        <v>92</v>
      </c>
      <c r="D65" s="17" t="s">
        <v>93</v>
      </c>
      <c r="E65" s="3"/>
      <c r="F65" s="1"/>
      <c r="G65" s="17" t="s">
        <v>94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52">
        <v>20</v>
      </c>
      <c r="C66" s="52">
        <f>IF($G$59&gt;=5,36,IF(AND(G$59&gt;2,$G$59&lt;=4),28, IF(AND($G$59&gt;=0,$G$59&lt;=2),20,"error")))</f>
        <v>28</v>
      </c>
      <c r="D66" s="53">
        <f>IF($G$59&gt;=5,$G$66*(36/20),IF(AND($G$59&gt;2,$G$59&lt;=4),$G$66*(28/20), IF(AND($G$59&gt;=0,$G$59&lt;=2),$G$66,"error")))</f>
        <v>2.0999999999999996</v>
      </c>
      <c r="E66" s="3"/>
      <c r="F66" s="1"/>
      <c r="G66" s="54">
        <v>1.5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"/>
      <c r="B67" s="78" t="s">
        <v>95</v>
      </c>
      <c r="C67" s="75"/>
      <c r="D67" s="76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55" t="s">
        <v>96</v>
      </c>
      <c r="B68" s="52">
        <f t="shared" ref="B68:D68" si="6">$G$62*B66</f>
        <v>712.90800000000002</v>
      </c>
      <c r="C68" s="52">
        <f t="shared" si="6"/>
        <v>998.07120000000009</v>
      </c>
      <c r="D68" s="52">
        <f t="shared" si="6"/>
        <v>74.855339999999998</v>
      </c>
      <c r="E68" s="3"/>
      <c r="F68" s="1"/>
      <c r="G68" s="17" t="s">
        <v>97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55" t="s">
        <v>98</v>
      </c>
      <c r="B69" s="56">
        <f t="shared" ref="B69:C69" si="7">B68/(22*8)</f>
        <v>4.0506136363636367</v>
      </c>
      <c r="C69" s="56">
        <f t="shared" si="7"/>
        <v>5.670859090909091</v>
      </c>
      <c r="D69" s="57">
        <f>D68/(22*G69)</f>
        <v>0.85062886363636359</v>
      </c>
      <c r="E69" s="3"/>
      <c r="F69" s="1"/>
      <c r="G69" s="54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5" t="s">
        <v>99</v>
      </c>
      <c r="B72" s="58" t="s">
        <v>100</v>
      </c>
      <c r="C72" s="59"/>
      <c r="D72" s="48"/>
      <c r="E72" s="47"/>
      <c r="F72" s="60"/>
      <c r="G72" s="6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37" t="s">
        <v>101</v>
      </c>
      <c r="C73" s="16" t="s">
        <v>102</v>
      </c>
      <c r="D73" s="50" t="s">
        <v>103</v>
      </c>
      <c r="E73" s="50" t="s">
        <v>104</v>
      </c>
      <c r="F73" s="50" t="s">
        <v>105</v>
      </c>
      <c r="G73" s="50" t="s">
        <v>106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61" t="s">
        <v>107</v>
      </c>
      <c r="C74" s="62">
        <v>0.4</v>
      </c>
      <c r="D74" s="56">
        <f t="shared" ref="D74:F74" si="8">$C74/$C$74*B$69</f>
        <v>4.0506136363636367</v>
      </c>
      <c r="E74" s="56">
        <f t="shared" si="8"/>
        <v>5.670859090909091</v>
      </c>
      <c r="F74" s="56">
        <f t="shared" si="8"/>
        <v>0.85062886363636359</v>
      </c>
      <c r="G74" s="56">
        <f>D68</f>
        <v>74.855339999999998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61" t="s">
        <v>108</v>
      </c>
      <c r="C75" s="62">
        <f>1-C74</f>
        <v>0.6</v>
      </c>
      <c r="D75" s="52">
        <f t="shared" ref="D75:F75" si="9">$C75/$C$74*B$69</f>
        <v>6.0759204545454537</v>
      </c>
      <c r="E75" s="52">
        <f t="shared" si="9"/>
        <v>8.5062886363636352</v>
      </c>
      <c r="F75" s="52">
        <f t="shared" si="9"/>
        <v>1.2759432954545451</v>
      </c>
      <c r="G75" s="52">
        <f>D68*1.5</f>
        <v>112.28300999999999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63"/>
      <c r="C76" s="62">
        <f>SUM(C74:C75)</f>
        <v>1</v>
      </c>
      <c r="D76" s="56">
        <f t="shared" ref="D76:F76" si="10">$C76/$C$74*B$69</f>
        <v>10.126534090909091</v>
      </c>
      <c r="E76" s="56">
        <f t="shared" si="10"/>
        <v>14.177147727272727</v>
      </c>
      <c r="F76" s="56">
        <f t="shared" si="10"/>
        <v>2.1265721590909088</v>
      </c>
      <c r="G76" s="56">
        <f>G74+G75</f>
        <v>187.13835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5" t="s">
        <v>109</v>
      </c>
      <c r="B78" s="22">
        <v>4</v>
      </c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5" t="s">
        <v>110</v>
      </c>
      <c r="B80" s="50" t="s">
        <v>111</v>
      </c>
      <c r="C80" s="50" t="s">
        <v>112</v>
      </c>
      <c r="D80" s="50" t="s">
        <v>113</v>
      </c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64"/>
      <c r="B81" s="65">
        <f>$D$76/$B$78</f>
        <v>2.5316335227272728</v>
      </c>
      <c r="C81" s="65">
        <f>$E$76/$B$78</f>
        <v>3.5442869318181818</v>
      </c>
      <c r="D81" s="65">
        <f>$F$76/$B$78</f>
        <v>0.5316430397727272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2">
      <c r="A82" s="64"/>
      <c r="B82" s="64"/>
      <c r="C82" s="64"/>
      <c r="D82" s="64"/>
      <c r="E82" s="6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2">
      <c r="A83" s="64"/>
      <c r="B83" s="64"/>
      <c r="C83" s="64"/>
      <c r="D83" s="64"/>
      <c r="E83" s="6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2">
      <c r="A84" s="67" t="s">
        <v>114</v>
      </c>
      <c r="B84" s="68" t="s">
        <v>115</v>
      </c>
      <c r="C84" s="68" t="s">
        <v>115</v>
      </c>
      <c r="D84" s="69" t="s">
        <v>115</v>
      </c>
      <c r="E84" s="70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">
      <c r="A85" s="72">
        <v>45968</v>
      </c>
      <c r="B85" s="73">
        <f>EDATE(A85,INT(B81)) + (B81-INT(B81))*DAY(EDATE(A85,INT(B81)+1)-EDATE(A85,INT(B81)))</f>
        <v>46045.480639204543</v>
      </c>
      <c r="C85" s="73">
        <f>EDATE(A85,INT(C81)) + (C81-INT(C81))*DAY(EDATE(A85,INT(C81)+1)-EDATE(A85,INT(C81)))</f>
        <v>46075.240034090908</v>
      </c>
      <c r="D85" s="73">
        <f>EDATE(A85,INT(D81)) + (D81-INT(D81))*DAY(EDATE(A85,INT(D81)+1)-EDATE(A85,INT(D81)))</f>
        <v>45983.949291193181</v>
      </c>
      <c r="E85" s="70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">
      <c r="A86" s="64"/>
      <c r="B86" s="64"/>
      <c r="C86" s="64"/>
      <c r="D86" s="64"/>
      <c r="E86" s="6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">
      <c r="A89" s="64"/>
      <c r="B89" s="64"/>
      <c r="C89" s="64"/>
      <c r="D89" s="64"/>
      <c r="E89" s="6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2">
      <c r="A90" s="64"/>
      <c r="B90" s="64"/>
      <c r="C90" s="64"/>
      <c r="D90" s="64"/>
      <c r="E90" s="6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2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0">
    <mergeCell ref="B58:F58"/>
    <mergeCell ref="B62:F62"/>
    <mergeCell ref="B67:D67"/>
    <mergeCell ref="B2:G2"/>
    <mergeCell ref="C13:F13"/>
    <mergeCell ref="C20:E20"/>
    <mergeCell ref="C24:E24"/>
    <mergeCell ref="B44:F44"/>
    <mergeCell ref="B45:F45"/>
    <mergeCell ref="B57:F57"/>
  </mergeCells>
  <dataValidations disablePrompts="1" count="2">
    <dataValidation type="list" allowBlank="1" showErrorMessage="1" sqref="C8:C12" xr:uid="{00000000-0002-0000-0000-000000000000}">
      <formula1>"Simple,Intermedio,Complejo"</formula1>
    </dataValidation>
    <dataValidation type="decimal" allowBlank="1" showInputMessage="1" showErrorMessage="1" prompt="Entre 1 y 9 personas." sqref="B78" xr:uid="{00000000-0002-0000-0000-000001000000}">
      <formula1>1</formula1>
      <formula2>9</formula2>
    </dataValidation>
  </dataValidations>
  <hyperlinks>
    <hyperlink ref="H31" r:id="rId1" location="v=onepage&amp;q=e7%20part-time%20members&amp;f=false" xr:uid="{00000000-0004-0000-0000-000000000000}"/>
    <hyperlink ref="H49" r:id="rId2" location="v=onepage&amp;q=e7%20part-time%20members&amp;f=false" xr:uid="{00000000-0004-0000-0000-000001000000}"/>
  </hyperlinks>
  <pageMargins left="0.75" right="0.75" top="1" bottom="1" header="0" footer="0"/>
  <pageSetup orientation="portrait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Caso Probable</vt:lpstr>
      <vt:lpstr>'Caso Probable'!solver_opt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Carranza</cp:lastModifiedBy>
  <dcterms:created xsi:type="dcterms:W3CDTF">2021-09-16T15:20:38Z</dcterms:created>
  <dcterms:modified xsi:type="dcterms:W3CDTF">2025-11-11T13:27:31Z</dcterms:modified>
</cp:coreProperties>
</file>