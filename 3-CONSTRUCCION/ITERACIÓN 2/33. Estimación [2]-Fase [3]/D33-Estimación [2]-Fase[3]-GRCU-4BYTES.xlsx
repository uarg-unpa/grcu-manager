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REPOSITORIOS\grcu-manager\3-CONSTRUCCION\ITERACIÓN 2\33. Estimación [2]-Fase [3]\"/>
    </mc:Choice>
  </mc:AlternateContent>
  <xr:revisionPtr revIDLastSave="0" documentId="13_ncr:1_{53EAC6ED-3DC5-483F-8475-07688CC626A5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Caso Probable" sheetId="1" r:id="rId1"/>
    <sheet name="Peor Caso" sheetId="2" r:id="rId2"/>
    <sheet name="Mejor Caso" sheetId="3" r:id="rId3"/>
  </sheets>
  <definedNames>
    <definedName name="solver_eng" localSheetId="0">1</definedName>
    <definedName name="solver_eng" localSheetId="1">1</definedName>
    <definedName name="solver_neg" localSheetId="0">1</definedName>
    <definedName name="solver_neg" localSheetId="1">1</definedName>
    <definedName name="solver_num" localSheetId="0">0</definedName>
    <definedName name="solver_num" localSheetId="1">0</definedName>
    <definedName name="solver_opt" localSheetId="0">'Caso Probable'!$D$71</definedName>
    <definedName name="solver_opt" localSheetId="2">'Mejor Caso'!$D$71</definedName>
    <definedName name="solver_opt" localSheetId="1">'Peor Caso'!$D$71</definedName>
    <definedName name="solver_typ" localSheetId="0">1</definedName>
    <definedName name="solver_typ" localSheetId="1">1</definedName>
    <definedName name="solver_val" localSheetId="0">0</definedName>
    <definedName name="solver_val" localSheetId="1">0</definedName>
    <definedName name="solver_ver" localSheetId="0">3</definedName>
    <definedName name="solver_ver" localSheetId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G1GzarPVYEuXjww6p5IXw5gA0QCrNr3t44KxhwSBl5k="/>
    </ext>
  </extLst>
</workbook>
</file>

<file path=xl/calcChain.xml><?xml version="1.0" encoding="utf-8"?>
<calcChain xmlns="http://schemas.openxmlformats.org/spreadsheetml/2006/main">
  <c r="D90" i="3" l="1"/>
  <c r="C90" i="3"/>
  <c r="B90" i="3"/>
  <c r="D90" i="2"/>
  <c r="C90" i="2"/>
  <c r="B90" i="2"/>
  <c r="D90" i="1"/>
  <c r="C90" i="1"/>
  <c r="B90" i="1"/>
  <c r="C80" i="3"/>
  <c r="G64" i="3"/>
  <c r="D71" i="3" s="1"/>
  <c r="G61" i="3"/>
  <c r="G60" i="3"/>
  <c r="G59" i="3"/>
  <c r="G58" i="3"/>
  <c r="G57" i="3"/>
  <c r="G56" i="3"/>
  <c r="G55" i="3"/>
  <c r="G54" i="3"/>
  <c r="G62" i="3" s="1"/>
  <c r="G63" i="3" s="1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F24" i="3"/>
  <c r="E24" i="3"/>
  <c r="F23" i="3"/>
  <c r="E23" i="3"/>
  <c r="F22" i="3"/>
  <c r="E22" i="3"/>
  <c r="F21" i="3"/>
  <c r="E21" i="3"/>
  <c r="F20" i="3"/>
  <c r="E20" i="3"/>
  <c r="F19" i="3"/>
  <c r="E19" i="3"/>
  <c r="F18" i="3"/>
  <c r="E18" i="3"/>
  <c r="F17" i="3"/>
  <c r="E17" i="3"/>
  <c r="E12" i="3"/>
  <c r="G12" i="3" s="1"/>
  <c r="E11" i="3"/>
  <c r="G11" i="3" s="1"/>
  <c r="E10" i="3"/>
  <c r="G10" i="3" s="1"/>
  <c r="E9" i="3"/>
  <c r="G9" i="3" s="1"/>
  <c r="E8" i="3"/>
  <c r="G8" i="3" s="1"/>
  <c r="G13" i="3" s="1"/>
  <c r="C80" i="2"/>
  <c r="C81" i="2" s="1"/>
  <c r="G64" i="2"/>
  <c r="D71" i="2" s="1"/>
  <c r="G61" i="2"/>
  <c r="G60" i="2"/>
  <c r="G59" i="2"/>
  <c r="G58" i="2"/>
  <c r="G57" i="2"/>
  <c r="G56" i="2"/>
  <c r="G55" i="2"/>
  <c r="G54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E12" i="2"/>
  <c r="G12" i="2" s="1"/>
  <c r="E11" i="2"/>
  <c r="G11" i="2" s="1"/>
  <c r="E10" i="2"/>
  <c r="G10" i="2" s="1"/>
  <c r="E9" i="2"/>
  <c r="G9" i="2" s="1"/>
  <c r="E8" i="2"/>
  <c r="G8" i="2" s="1"/>
  <c r="C80" i="1"/>
  <c r="G64" i="1"/>
  <c r="D71" i="1" s="1"/>
  <c r="G61" i="1"/>
  <c r="G60" i="1"/>
  <c r="G59" i="1"/>
  <c r="G58" i="1"/>
  <c r="G57" i="1"/>
  <c r="G56" i="1"/>
  <c r="G55" i="1"/>
  <c r="G54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F24" i="1"/>
  <c r="E24" i="1"/>
  <c r="F23" i="1"/>
  <c r="E23" i="1"/>
  <c r="F22" i="1"/>
  <c r="E22" i="1"/>
  <c r="F21" i="1"/>
  <c r="F25" i="1" s="1"/>
  <c r="E21" i="1"/>
  <c r="F20" i="1"/>
  <c r="E20" i="1"/>
  <c r="F19" i="1"/>
  <c r="E19" i="1"/>
  <c r="F18" i="1"/>
  <c r="E18" i="1"/>
  <c r="F17" i="1"/>
  <c r="E17" i="1"/>
  <c r="E12" i="1"/>
  <c r="G12" i="1" s="1"/>
  <c r="E11" i="1"/>
  <c r="G11" i="1" s="1"/>
  <c r="E10" i="1"/>
  <c r="G10" i="1" s="1"/>
  <c r="E9" i="1"/>
  <c r="G9" i="1" s="1"/>
  <c r="E8" i="1"/>
  <c r="G8" i="1" s="1"/>
  <c r="F25" i="3" l="1"/>
  <c r="G49" i="3"/>
  <c r="G50" i="3" s="1"/>
  <c r="F29" i="3"/>
  <c r="F25" i="2"/>
  <c r="G49" i="2"/>
  <c r="G50" i="2" s="1"/>
  <c r="G62" i="2"/>
  <c r="G63" i="2" s="1"/>
  <c r="G13" i="1"/>
  <c r="G49" i="1"/>
  <c r="G50" i="1" s="1"/>
  <c r="G62" i="1"/>
  <c r="G63" i="1" s="1"/>
  <c r="G13" i="2"/>
  <c r="F29" i="2" s="1"/>
  <c r="F29" i="1"/>
  <c r="G67" i="1" s="1"/>
  <c r="G67" i="3"/>
  <c r="C71" i="1"/>
  <c r="C81" i="1"/>
  <c r="C71" i="2"/>
  <c r="C81" i="3"/>
  <c r="C71" i="3"/>
  <c r="G67" i="2" l="1"/>
  <c r="C73" i="3"/>
  <c r="C74" i="3" s="1"/>
  <c r="B73" i="3"/>
  <c r="B74" i="3" s="1"/>
  <c r="D73" i="3"/>
  <c r="D73" i="1"/>
  <c r="C73" i="1"/>
  <c r="C74" i="1" s="1"/>
  <c r="B73" i="1"/>
  <c r="B74" i="1" s="1"/>
  <c r="D73" i="2"/>
  <c r="C73" i="2"/>
  <c r="C74" i="2" s="1"/>
  <c r="B73" i="2"/>
  <c r="B74" i="2" s="1"/>
  <c r="E81" i="3"/>
  <c r="C86" i="3" s="1"/>
  <c r="D79" i="2" l="1"/>
  <c r="D80" i="2"/>
  <c r="D81" i="2"/>
  <c r="B86" i="2" s="1"/>
  <c r="D79" i="1"/>
  <c r="D80" i="1"/>
  <c r="D79" i="3"/>
  <c r="D80" i="3"/>
  <c r="G80" i="2"/>
  <c r="G79" i="2"/>
  <c r="D74" i="2"/>
  <c r="G79" i="3"/>
  <c r="G81" i="3" s="1"/>
  <c r="D74" i="3"/>
  <c r="G80" i="3"/>
  <c r="E79" i="2"/>
  <c r="E80" i="2"/>
  <c r="E81" i="2"/>
  <c r="C86" i="2" s="1"/>
  <c r="E79" i="1"/>
  <c r="E80" i="1"/>
  <c r="G80" i="1"/>
  <c r="G79" i="1"/>
  <c r="D74" i="1"/>
  <c r="E79" i="3"/>
  <c r="E80" i="3"/>
  <c r="D81" i="3"/>
  <c r="B86" i="3" s="1"/>
  <c r="D81" i="1"/>
  <c r="B86" i="1" s="1"/>
  <c r="E81" i="1"/>
  <c r="C86" i="1" s="1"/>
  <c r="G81" i="2" l="1"/>
  <c r="F79" i="2"/>
  <c r="F80" i="2"/>
  <c r="F81" i="2"/>
  <c r="D86" i="2" s="1"/>
  <c r="F79" i="3"/>
  <c r="F80" i="3"/>
  <c r="F81" i="3"/>
  <c r="D86" i="3" s="1"/>
  <c r="F79" i="1"/>
  <c r="F80" i="1"/>
  <c r="F81" i="1"/>
  <c r="D86" i="1" s="1"/>
  <c r="G8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7" authorId="0" shapeId="0" xr:uid="{00000000-0006-0000-0000-00000D000000}">
      <text>
        <r>
          <rPr>
            <sz val="10"/>
            <color rgb="FF000000"/>
            <rFont val="Arial"/>
            <scheme val="minor"/>
          </rPr>
          <t>======
ID#AAAA4EXGEYI
Autor    (2023-08-29 20:18:46)
Complejo: =3
  - Operador a través de Interfaz Gráfica de Usuario (GUI)
Intermedio: -&gt; 2 
  - Otro sistema a través de un protocolo (TCP/IP, HTTP, SOAP)
  - Operador humano a través de interfaz de comandos de texto (CLI)
Simple: -&gt; 1
  - Otro sistema a través de una Interfaz de Programación de Aplicaciones (API)</t>
        </r>
      </text>
    </comment>
    <comment ref="C16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ID#AAAA4EXGEY0
Ejemplo    (2023-08-29 20:18:46)
contar transacciones
Flujo.Ppal.: transacciones 1, 2, 3, 4. 
Flujo Alt.: 0 transaccioines. 
Excepciones.: N/A -&gt; 0 transacciones
-&gt; suma = 4 transacciones</t>
        </r>
      </text>
    </comment>
    <comment ref="B36" authorId="0" shapeId="0" xr:uid="{00000000-0006-0000-0000-000017000000}">
      <text>
        <r>
          <rPr>
            <sz val="10"/>
            <color rgb="FF000000"/>
            <rFont val="Arial"/>
            <scheme val="minor"/>
          </rPr>
          <t>======
ID#AAAA4EXGEXg
Autor    (2023-08-29 20:18:46)
¿Arquitectura centralizada o distribuida?</t>
        </r>
      </text>
    </comment>
    <comment ref="B37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ID#AAAA4EXGEYo
Autor    (2023-08-29 20:18:46)
¿Cuál es la importancia del tiempo de respuesta de la aplicación para el usuario final?</t>
        </r>
      </text>
    </comment>
    <comment ref="B38" authorId="0" shapeId="0" xr:uid="{00000000-0006-0000-0000-000011000000}">
      <text>
        <r>
          <rPr>
            <sz val="10"/>
            <color rgb="FF000000"/>
            <rFont val="Arial"/>
            <scheme val="minor"/>
          </rPr>
          <t>======
ID#AAAA4EXGEX4
Autor    (2023-08-29 20:18:46)
¿La aplicacion está diseñada para que el usuario incremente SU eficiencia (no solo cumpla su cometido)?</t>
        </r>
      </text>
    </comment>
    <comment ref="B39" authorId="0" shapeId="0" xr:uid="{00000000-0006-0000-0000-00001B000000}">
      <text>
        <r>
          <rPr>
            <sz val="10"/>
            <color rgb="FF000000"/>
            <rFont val="Arial"/>
            <scheme val="minor"/>
          </rPr>
          <t>======
ID#AAAA4EXGEXQ
Autor    (2023-08-29 20:18:46)
¿La aplicación requiere de algoritmos complejos?</t>
        </r>
      </text>
    </comment>
    <comment ref="B40" authorId="0" shapeId="0" xr:uid="{00000000-0006-0000-0000-00000B000000}">
      <text>
        <r>
          <rPr>
            <sz val="10"/>
            <color rgb="FF000000"/>
            <rFont val="Arial"/>
            <scheme val="minor"/>
          </rPr>
          <t>======
ID#AAAA4EXGEYQ
Autor    (2023-08-29 20:18:46)
¿La aplicación requiere diseñarse para ser altamente reusable?</t>
        </r>
      </text>
    </comment>
    <comment ref="B41" authorId="0" shapeId="0" xr:uid="{00000000-0006-0000-0000-00001A000000}">
      <text>
        <r>
          <rPr>
            <sz val="10"/>
            <color rgb="FF000000"/>
            <rFont val="Arial"/>
            <scheme val="minor"/>
          </rPr>
          <t>======
ID#AAAA4EXGEXU
Autor    (2023-08-29 20:18:46)
¿La aplicación debe ser de fácil instalación (para usuarios sin capacidad técnica) o no?</t>
        </r>
      </text>
    </comment>
    <comment ref="B42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ID#AAAA4EXGEYY
Autor    (2023-08-29 20:18:46)
¿Hay requerimientos especiales respecto de la facilidad de uso?</t>
        </r>
      </text>
    </comment>
    <comment ref="B43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ID#AAAA4EXGEYw
Autor    (2023-08-29 20:18:46)
¿La aplicación, debe funcionar en más de una plataforma?</t>
        </r>
      </text>
    </comment>
    <comment ref="B44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ID#AAAA4EXGEYg
Autor    (2023-08-29 20:18:46)
¿El cliente requiere que la aplicación se pueda cambiar fácilmente en el futuro?</t>
        </r>
      </text>
    </comment>
    <comment ref="B45" authorId="0" shapeId="0" xr:uid="{00000000-0006-0000-0000-000018000000}">
      <text>
        <r>
          <rPr>
            <sz val="10"/>
            <color rgb="FF000000"/>
            <rFont val="Arial"/>
            <scheme val="minor"/>
          </rPr>
          <t>======
ID#AAAA4EXGEXc
Autor    (2023-08-29 20:18:46)
¿Hace falta consideraciones especiales para el acceso concurrente (paralelo) a datos y otros recursos?</t>
        </r>
      </text>
    </comment>
    <comment ref="B46" authorId="0" shapeId="0" xr:uid="{00000000-0006-0000-0000-000014000000}">
      <text>
        <r>
          <rPr>
            <sz val="10"/>
            <color rgb="FF000000"/>
            <rFont val="Arial"/>
            <scheme val="minor"/>
          </rPr>
          <t>======
ID#AAAA4EXGEXs
Autor    (2023-08-29 20:18:46)
¿Es suficiente con las prestaciones de seguridad normales, o hace falta algo especial?</t>
        </r>
      </text>
    </comment>
    <comment ref="B47" authorId="0" shapeId="0" xr:uid="{00000000-0006-0000-0000-000016000000}">
      <text>
        <r>
          <rPr>
            <sz val="10"/>
            <color rgb="FF000000"/>
            <rFont val="Arial"/>
            <scheme val="minor"/>
          </rPr>
          <t>======
ID#AAAA4EXGEXk
Autor    (2023-08-29 20:18:46)
¿Nuestro código usará componentes COTS, librerías frameworks ya desarrollados? Si así fuera, reducirá la carga de trabajo de desarrollo.</t>
        </r>
      </text>
    </comment>
    <comment ref="B48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ID#AAAA4EXGEYs
Autor    (2023-08-29 20:18:46)
¿Se requiere formación específica para los Usuarios?</t>
        </r>
      </text>
    </comment>
    <comment ref="B54" authorId="0" shapeId="0" xr:uid="{00000000-0006-0000-0000-00000A000000}">
      <text>
        <r>
          <rPr>
            <sz val="10"/>
            <color rgb="FF000000"/>
            <rFont val="Arial"/>
            <scheme val="minor"/>
          </rPr>
          <t>======
ID#AAAA4EXGEYU
Autor    (2023-08-29 20:18:46)
Debe reflejar el hecho de que el equipo conoce el proceso y el lenguaje de modelado (p.ej.: RUP, UML). Puede ser cualquier otro proceso.</t>
        </r>
      </text>
    </comment>
    <comment ref="B55" authorId="0" shapeId="0" xr:uid="{00000000-0006-0000-0000-000010000000}">
      <text>
        <r>
          <rPr>
            <sz val="10"/>
            <color rgb="FF000000"/>
            <rFont val="Arial"/>
            <scheme val="minor"/>
          </rPr>
          <t>======
ID#AAAA4EXGEX8
Autor    (2023-08-29 20:18:46)
¿Ya trabajado el equipo en el area (dominio) de la aplicación?</t>
        </r>
      </text>
    </comment>
    <comment ref="B56" authorId="0" shapeId="0" xr:uid="{00000000-0006-0000-0000-000012000000}">
      <text>
        <r>
          <rPr>
            <sz val="10"/>
            <color rgb="FF000000"/>
            <rFont val="Arial"/>
            <scheme val="minor"/>
          </rPr>
          <t>======
ID#AAAA4EXGEXw
Autor    (2023-08-29 20:18:46)
Se refiere exclusivamente a la experiencia en el análisis, modelado, diseño y progrmación  mediante el paradigma de OO.</t>
        </r>
      </text>
    </comment>
    <comment ref="B57" authorId="0" shapeId="0" xr:uid="{00000000-0006-0000-0000-000019000000}">
      <text>
        <r>
          <rPr>
            <sz val="10"/>
            <color rgb="FF000000"/>
            <rFont val="Arial"/>
            <scheme val="minor"/>
          </rPr>
          <t>======
ID#AAAA4EXGEXY
Autor    (2023-08-29 20:18:46)
Se refiere a la experiencia en el análisis de requerimientos y modelado orientado a objetos del Analista Principal.</t>
        </r>
      </text>
    </comment>
    <comment ref="B58" authorId="0" shapeId="0" xr:uid="{00000000-0006-0000-0000-000015000000}">
      <text>
        <r>
          <rPr>
            <sz val="10"/>
            <color rgb="FF000000"/>
            <rFont val="Arial"/>
            <scheme val="minor"/>
          </rPr>
          <t>======
ID#AAAA4EXGEXo
Autor    (2023-08-29 20:18:46)
Motivación del equipo.</t>
        </r>
      </text>
    </comment>
    <comment ref="B59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ID#AAAA4EXGEY4
Autor    (2023-08-29 20:18:46)
Evalúa si los analistas han sido capaces de mantener estables los requerimientos en el pasado, minimizando los cambios del software.</t>
        </r>
      </text>
    </comment>
    <comment ref="B60" authorId="0" shapeId="0" xr:uid="{00000000-0006-0000-0000-00000C000000}">
      <text>
        <r>
          <rPr>
            <sz val="10"/>
            <color rgb="FF000000"/>
            <rFont val="Arial"/>
            <scheme val="minor"/>
          </rPr>
          <t>======
ID#AAAA4EXGEYM
Autor    (2023-08-29 20:18:46)
Este es un factor con signo opuesto a los factores E6 y anteriores. Cuanto mayor la evaluación, peor el resultado.</t>
        </r>
      </text>
    </comment>
    <comment ref="B61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ID#AAAA4EXGEYc
Autor    (2023-08-29 20:18:46)
Este es un factor con signo opuesto a los factores E6 y anteriores. Cuanto mayor la evaluación, peor el resultado.</t>
        </r>
      </text>
    </comment>
    <comment ref="G71" authorId="0" shapeId="0" xr:uid="{00000000-0006-0000-0000-00000F000000}">
      <text>
        <r>
          <rPr>
            <sz val="10"/>
            <color rgb="FF000000"/>
            <rFont val="Arial"/>
            <scheme val="minor"/>
          </rPr>
          <t>======
ID#AAAA4EXGEYA
Autor    (2023-08-29 20:18:46)
Este valor lo debe rellenar el propio estimador mediante una medición pequeña que se use como muestra. 
Como valor orientativo
Java15 (07/2020), muy principiante, autodidacta -&gt;2.5hh/AUCP
Es una Estadística que debe actualizarse proyecto a proyecto.</t>
        </r>
      </text>
    </comment>
    <comment ref="B77" authorId="0" shapeId="0" xr:uid="{00000000-0006-0000-0000-00000E000000}">
      <text>
        <r>
          <rPr>
            <sz val="10"/>
            <color rgb="FF000000"/>
            <rFont val="Arial"/>
            <scheme val="minor"/>
          </rPr>
          <t>======
ID#AAAA4EXGEYE
Autor    (2023-08-29 20:18:46)
Esta distribución es una referencia. Proyecto a proyecto debe actualizarse mediante  ESTADISTICAS.</t>
        </r>
      </text>
    </comment>
    <comment ref="B80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ID#AAAA4EXGEYk
Autor    (2023-08-29 20:18:46)
Análisis/Diseño/Pruebas/Sobrecarga</t>
        </r>
      </text>
    </comment>
    <comment ref="B83" authorId="0" shapeId="0" xr:uid="{00000000-0006-0000-0000-000013000000}">
      <text>
        <r>
          <rPr>
            <sz val="10"/>
            <color rgb="FF000000"/>
            <rFont val="Arial"/>
            <scheme val="minor"/>
          </rPr>
          <t>======
ID#AAAA4EXGEX0
Autor    (2023-08-29 20:18:46)
Lo debe sugerir el estimador.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nR2fcGCUotevhcokOeDvo+zhlgw=="/>
    </ext>
  </extLst>
</comments>
</file>

<file path=xl/sharedStrings.xml><?xml version="1.0" encoding="utf-8"?>
<sst xmlns="http://schemas.openxmlformats.org/spreadsheetml/2006/main" count="513" uniqueCount="132">
  <si>
    <t>ESTIMACIÓN por PUNTOS de CASO de USO</t>
  </si>
  <si>
    <t>Proyecto:</t>
  </si>
  <si>
    <t>GRCU Manager</t>
  </si>
  <si>
    <t>Gestor de Proyecto:</t>
  </si>
  <si>
    <t>4BYTES</t>
  </si>
  <si>
    <t>1. PESO DE LOS ACTORES</t>
  </si>
  <si>
    <t>Actor</t>
  </si>
  <si>
    <t>Factor de Peso Actores</t>
  </si>
  <si>
    <t>Descripción</t>
  </si>
  <si>
    <t>Peso</t>
  </si>
  <si>
    <t>Número actores</t>
  </si>
  <si>
    <t>Valor ponderado</t>
  </si>
  <si>
    <t>Docente Administrador</t>
  </si>
  <si>
    <t>Complejo</t>
  </si>
  <si>
    <t>Encargado de la gestión de usuarios y creación de proyectos</t>
  </si>
  <si>
    <t>Desarrollador</t>
  </si>
  <si>
    <t>Encargado de la gestión de requerimientos y casos de usos</t>
  </si>
  <si>
    <t>Lider de proyecto</t>
  </si>
  <si>
    <t>Intermedio</t>
  </si>
  <si>
    <t>Integrante designado para coordinar el equipo. Define metodología, valida requerimientos, prioriza y consolida informes.</t>
  </si>
  <si>
    <t>Visitante</t>
  </si>
  <si>
    <t>Simple</t>
  </si>
  <si>
    <t xml:space="preserve">Navega por el sistema y solicita reportes </t>
  </si>
  <si>
    <t>Cliente</t>
  </si>
  <si>
    <t>Navega en el sistema, permitiéndole adjuntar documentos o archivos externos y  validar los requerimientos</t>
  </si>
  <si>
    <t xml:space="preserve">Peso Total Actores, sin ajustar (UAW) </t>
  </si>
  <si>
    <t xml:space="preserve">
</t>
  </si>
  <si>
    <t>2. PESO DE LOS CU</t>
  </si>
  <si>
    <t>Casos de Uso</t>
  </si>
  <si>
    <t>Comentario</t>
  </si>
  <si>
    <t>Número de transacciones</t>
  </si>
  <si>
    <t>Complejidad</t>
  </si>
  <si>
    <t>1 Pantalla, 1 extensión, 1BD</t>
  </si>
  <si>
    <t>CU07: Priorizar Requerimiento</t>
  </si>
  <si>
    <t>CU08: Consultar Historial de Requerimiento</t>
  </si>
  <si>
    <t>1 Pantalla, 1 extensión, 1 BD</t>
  </si>
  <si>
    <t>CU10: Consultar Historial de Caso de Uso</t>
  </si>
  <si>
    <t>CU11: Definir dependencias</t>
  </si>
  <si>
    <t>CU12: Validar requerimiento</t>
  </si>
  <si>
    <t>CU13: Comentar requerimiento</t>
  </si>
  <si>
    <t>1 Pantalla, 2 extensión, 1 BD</t>
  </si>
  <si>
    <t>CU14: Adjuntar archivo al comentario</t>
  </si>
  <si>
    <t>1 Pantalla, 3 extensión, 1 BD</t>
  </si>
  <si>
    <t>CU16: Generar Informe</t>
  </si>
  <si>
    <t xml:space="preserve">Peso Total CU, sin ajustar (UUCW) </t>
  </si>
  <si>
    <t>3. PCU SIN AJUSTE</t>
  </si>
  <si>
    <r>
      <rPr>
        <b/>
        <sz val="12"/>
        <color theme="1"/>
        <rFont val="Calibri"/>
      </rPr>
      <t xml:space="preserve">Puntos de CU No Ajustados: </t>
    </r>
    <r>
      <rPr>
        <b/>
        <sz val="12"/>
        <color rgb="FFFF0000"/>
        <rFont val="Calibri"/>
      </rPr>
      <t>UUCP = UAW + UUCW</t>
    </r>
  </si>
  <si>
    <t>4. COMPLEJIDAD TECNICA</t>
  </si>
  <si>
    <t>Factores de Peso Técnicos</t>
  </si>
  <si>
    <t>Escala de asignación</t>
  </si>
  <si>
    <t>Características especiales</t>
  </si>
  <si>
    <t>Evaluación</t>
  </si>
  <si>
    <t>Impacto</t>
  </si>
  <si>
    <t>Ver 4.2 Use Case Point Analysis e11</t>
  </si>
  <si>
    <t>T1  Sistema Distribuido</t>
  </si>
  <si>
    <t>0=no importante  5=esencial</t>
  </si>
  <si>
    <t>¡Describir!</t>
  </si>
  <si>
    <t>2</t>
  </si>
  <si>
    <t>Object-Oriented Analysis and Design for Information Systems: Modeling with UML, OCL, and IFML</t>
  </si>
  <si>
    <t>T2  Objetivos de Desempeño o Tiempo de Respuesta</t>
  </si>
  <si>
    <t>T3  Eficiencia Usuario Final</t>
  </si>
  <si>
    <t>T4  Procesamiento Interno Complejo</t>
  </si>
  <si>
    <t>T5  Código Debe Ser Reusable</t>
  </si>
  <si>
    <t>T6  Facilidad de Instalación</t>
  </si>
  <si>
    <t>T7  Facilidad de Uso</t>
  </si>
  <si>
    <t>T8  Portabilidad</t>
  </si>
  <si>
    <t>T9  Facilidad de Cambio</t>
  </si>
  <si>
    <t>T10 Concurrencia</t>
  </si>
  <si>
    <t>T11 Incluye Características Especiales de Seguridad</t>
  </si>
  <si>
    <t>T12 Acceso Directo a Código de Terceros</t>
  </si>
  <si>
    <t>T13 Necesidades de formación para los Usuarios</t>
  </si>
  <si>
    <r>
      <rPr>
        <b/>
        <sz val="12"/>
        <color theme="1"/>
        <rFont val="Calibri"/>
      </rPr>
      <t xml:space="preserve">Factores Técnicos: TF = </t>
    </r>
    <r>
      <rPr>
        <b/>
        <sz val="12"/>
        <color theme="1"/>
        <rFont val="Calibri"/>
      </rPr>
      <t xml:space="preserve">∑ </t>
    </r>
    <r>
      <rPr>
        <b/>
        <sz val="12"/>
        <color theme="1"/>
        <rFont val="Calibri"/>
      </rPr>
      <t xml:space="preserve">(Peso * Evaluacion ) </t>
    </r>
  </si>
  <si>
    <r>
      <rPr>
        <b/>
        <sz val="12"/>
        <color theme="1"/>
        <rFont val="Calibri"/>
      </rPr>
      <t xml:space="preserve">Factor de Complejidad Técnica:  </t>
    </r>
    <r>
      <rPr>
        <b/>
        <sz val="12"/>
        <color rgb="FFFF0000"/>
        <rFont val="Calibri"/>
      </rPr>
      <t xml:space="preserve">TCF = 0,06 + 0,01*TC </t>
    </r>
  </si>
  <si>
    <t>5. FACTORES DEL ENTORNO</t>
  </si>
  <si>
    <t>Factores de Peso Ambientales del Equipo</t>
  </si>
  <si>
    <t>Escala de 0 a 5</t>
  </si>
  <si>
    <t>Razón</t>
  </si>
  <si>
    <t>Ver 4.2 Use Case Point Analysis e17</t>
  </si>
  <si>
    <t>E1 Familiaridad con un Proceso Definido</t>
  </si>
  <si>
    <t>0 = sin experiencia, 3=media, 5=experto</t>
  </si>
  <si>
    <t>E2 Experiencia en el Dominio de Aplicación</t>
  </si>
  <si>
    <t>E3 Experiencia en Orientación a Objetos</t>
  </si>
  <si>
    <t>E4 Capacidad de Liderazgo del  Analista Principal</t>
  </si>
  <si>
    <t>E5 Motivación</t>
  </si>
  <si>
    <t>0=sin, 3=media, 5=alta</t>
  </si>
  <si>
    <t>E6 Requerimientos Estables</t>
  </si>
  <si>
    <t>0=extremadamente inestable, 5=no cambian</t>
  </si>
  <si>
    <t>E7 Miembros a Tiempo Parcial</t>
  </si>
  <si>
    <t>0=0% tiempo parcial, 1=h/10% t. parcial, 2=h/20% t. parcial, 3=h/40% t. parcial, 4=h/60% t. parcial, 5= más de 60% t. parcial</t>
  </si>
  <si>
    <t>E8 Dificultad con el lenguaje de Programación</t>
  </si>
  <si>
    <t>0=todos miembros muy experimentados. 1= Mayoría +2años experiencia. 2. Todos +18 meses experiencia 3. Mayoría +18 meses experiencia 4. Pocos hasta 1 año experiencia 5. Ninguno experiencia</t>
  </si>
  <si>
    <t xml:space="preserve">Factores Ambientales: EF = ∑ (Peso * Evaluacion ) </t>
  </si>
  <si>
    <r>
      <rPr>
        <b/>
        <sz val="12"/>
        <color theme="1"/>
        <rFont val="Calibri"/>
      </rPr>
      <t xml:space="preserve">Factor de Complejidad Ambiental: </t>
    </r>
    <r>
      <rPr>
        <b/>
        <sz val="12"/>
        <color rgb="FFFF0000"/>
        <rFont val="Calibri"/>
      </rPr>
      <t>ECF = 1.4 + (-0.03*EF)</t>
    </r>
  </si>
  <si>
    <t>FPA desfavorables</t>
  </si>
  <si>
    <t>6. PCU AJUSTADOS</t>
  </si>
  <si>
    <r>
      <rPr>
        <b/>
        <sz val="12"/>
        <color theme="1"/>
        <rFont val="Calibri"/>
      </rPr>
      <t xml:space="preserve">Puntos de Casos de Uso Ajustados: AUCP = </t>
    </r>
    <r>
      <rPr>
        <b/>
        <sz val="12"/>
        <color rgb="FFFF0000"/>
        <rFont val="Calibri"/>
      </rPr>
      <t>UUCP * TCF * ECF</t>
    </r>
  </si>
  <si>
    <t>7. ESFUERZO CODIFICACION</t>
  </si>
  <si>
    <t>h-h / AUCP: Karner</t>
  </si>
  <si>
    <t>h-h / AUCP: Schneider &amp; Winters</t>
  </si>
  <si>
    <t>h-h / AUCP: Estadística propia</t>
  </si>
  <si>
    <t>h-h/UCP: Velocidad propia</t>
  </si>
  <si>
    <t>Esfuerzo</t>
  </si>
  <si>
    <t>Esfuerzo (h-h)</t>
  </si>
  <si>
    <t>Dedicación Diaria (hs)</t>
  </si>
  <si>
    <t>Esfuerzo (mes-h)</t>
  </si>
  <si>
    <t>8. ESFUERZO TOTAL</t>
  </si>
  <si>
    <t>Distribución Esfuerzo por Tarea</t>
  </si>
  <si>
    <t>Actividad</t>
  </si>
  <si>
    <t>Porcentaje</t>
  </si>
  <si>
    <t>Karner
(m-h)</t>
  </si>
  <si>
    <t>Sch&amp;Win
(m-h)</t>
  </si>
  <si>
    <t>Propia
(m-h)</t>
  </si>
  <si>
    <t>Propia
(h-h)</t>
  </si>
  <si>
    <t>Codificación</t>
  </si>
  <si>
    <t>Actividades restantes</t>
  </si>
  <si>
    <t>9. NUMERO PERSONAS</t>
  </si>
  <si>
    <t>10. DURACION PROYECTO</t>
  </si>
  <si>
    <t>Karner
(m)</t>
  </si>
  <si>
    <t>Sch&amp;Win
(m)</t>
  </si>
  <si>
    <t>Propia
(m)</t>
  </si>
  <si>
    <r>
      <rPr>
        <b/>
        <sz val="12"/>
        <color theme="1"/>
        <rFont val="Calibri"/>
      </rPr>
      <t xml:space="preserve">Puntos de CU No Ajustados: </t>
    </r>
    <r>
      <rPr>
        <b/>
        <sz val="12"/>
        <color rgb="FFFF0000"/>
        <rFont val="Calibri"/>
      </rPr>
      <t>UUCP = UAW + UUCW</t>
    </r>
  </si>
  <si>
    <r>
      <rPr>
        <b/>
        <sz val="12"/>
        <color theme="1"/>
        <rFont val="Calibri"/>
      </rPr>
      <t xml:space="preserve">Factores Técnicos: TF = </t>
    </r>
    <r>
      <rPr>
        <b/>
        <sz val="12"/>
        <color theme="1"/>
        <rFont val="Calibri"/>
      </rPr>
      <t xml:space="preserve">∑ </t>
    </r>
    <r>
      <rPr>
        <b/>
        <sz val="12"/>
        <color theme="1"/>
        <rFont val="Calibri"/>
      </rPr>
      <t xml:space="preserve">(Peso * Evaluacion ) </t>
    </r>
  </si>
  <si>
    <r>
      <rPr>
        <b/>
        <sz val="12"/>
        <color theme="1"/>
        <rFont val="Calibri"/>
      </rPr>
      <t xml:space="preserve">Factor de Complejidad Técnica:  </t>
    </r>
    <r>
      <rPr>
        <b/>
        <sz val="12"/>
        <color rgb="FFFF0000"/>
        <rFont val="Calibri"/>
      </rPr>
      <t xml:space="preserve">TCF = 0,06 + 0,01*TC </t>
    </r>
  </si>
  <si>
    <r>
      <rPr>
        <b/>
        <sz val="12"/>
        <color theme="1"/>
        <rFont val="Calibri"/>
      </rPr>
      <t xml:space="preserve">Factor de Complejidad Ambiental: </t>
    </r>
    <r>
      <rPr>
        <b/>
        <sz val="12"/>
        <color rgb="FFFF0000"/>
        <rFont val="Calibri"/>
      </rPr>
      <t>ECF = 1.4 + (-0.03*EF)</t>
    </r>
  </si>
  <si>
    <r>
      <rPr>
        <b/>
        <sz val="12"/>
        <color theme="1"/>
        <rFont val="Calibri"/>
      </rPr>
      <t xml:space="preserve">Puntos de Casos de Uso Ajustados: AUCP = </t>
    </r>
    <r>
      <rPr>
        <b/>
        <sz val="12"/>
        <color rgb="FFFF0000"/>
        <rFont val="Calibri"/>
      </rPr>
      <t>UUCP * TCF * ECF</t>
    </r>
  </si>
  <si>
    <r>
      <rPr>
        <b/>
        <sz val="12"/>
        <color theme="1"/>
        <rFont val="Calibri"/>
      </rPr>
      <t xml:space="preserve">Puntos de CU No Ajustados: </t>
    </r>
    <r>
      <rPr>
        <b/>
        <sz val="12"/>
        <color rgb="FFFF0000"/>
        <rFont val="Calibri"/>
      </rPr>
      <t>UUCP = UAW + UUCW</t>
    </r>
  </si>
  <si>
    <r>
      <rPr>
        <b/>
        <sz val="12"/>
        <color theme="1"/>
        <rFont val="Calibri"/>
      </rPr>
      <t xml:space="preserve">Factores Técnicos: TF = </t>
    </r>
    <r>
      <rPr>
        <b/>
        <sz val="12"/>
        <color theme="1"/>
        <rFont val="Calibri"/>
      </rPr>
      <t xml:space="preserve">∑ </t>
    </r>
    <r>
      <rPr>
        <b/>
        <sz val="12"/>
        <color theme="1"/>
        <rFont val="Calibri"/>
      </rPr>
      <t xml:space="preserve">(Peso * Evaluacion ) </t>
    </r>
  </si>
  <si>
    <r>
      <rPr>
        <b/>
        <sz val="12"/>
        <color theme="1"/>
        <rFont val="Calibri"/>
      </rPr>
      <t xml:space="preserve">Factor de Complejidad Técnica:  </t>
    </r>
    <r>
      <rPr>
        <b/>
        <sz val="12"/>
        <color rgb="FFFF0000"/>
        <rFont val="Calibri"/>
      </rPr>
      <t xml:space="preserve">TCF = 0,06 + 0,01*TC </t>
    </r>
  </si>
  <si>
    <r>
      <rPr>
        <b/>
        <sz val="12"/>
        <color theme="1"/>
        <rFont val="Calibri"/>
      </rPr>
      <t xml:space="preserve">Factor de Complejidad Ambiental: </t>
    </r>
    <r>
      <rPr>
        <b/>
        <sz val="12"/>
        <color rgb="FFFF0000"/>
        <rFont val="Calibri"/>
      </rPr>
      <t>ECF = 1.4 + (-0.03*EF)</t>
    </r>
  </si>
  <si>
    <r>
      <rPr>
        <b/>
        <sz val="12"/>
        <color theme="1"/>
        <rFont val="Calibri"/>
      </rPr>
      <t xml:space="preserve">Puntos de Casos de Uso Ajustados: AUCP = </t>
    </r>
    <r>
      <rPr>
        <b/>
        <sz val="12"/>
        <color rgb="FFFF0000"/>
        <rFont val="Calibri"/>
      </rPr>
      <t>UUCP * TCF * ECF</t>
    </r>
  </si>
  <si>
    <t>11. FECHA ESTIMACIÓN</t>
  </si>
  <si>
    <t>FECHA FINALIZACIÓN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</si>
</sst>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6" x14ac:knownFonts="1">
    <font>
      <sz val="10"/>
      <color rgb="FF000000"/>
      <name val="Arial"/>
      <scheme val="minor"/>
    </font>
    <font>
      <sz val="12"/>
      <color theme="1"/>
      <name val="Calibri"/>
    </font>
    <font>
      <b/>
      <sz val="16"/>
      <color theme="1"/>
      <name val="Calibri"/>
    </font>
    <font>
      <sz val="10"/>
      <name val="Arial"/>
    </font>
    <font>
      <b/>
      <sz val="12"/>
      <color theme="1"/>
      <name val="Calibri"/>
    </font>
    <font>
      <sz val="12"/>
      <color rgb="FF3F3F76"/>
      <name val="Calibri"/>
    </font>
    <font>
      <b/>
      <sz val="12"/>
      <color rgb="FFFA7D00"/>
      <name val="Calibri"/>
    </font>
    <font>
      <b/>
      <sz val="12"/>
      <color rgb="FF3F3F3F"/>
      <name val="Calibri"/>
    </font>
    <font>
      <u/>
      <sz val="10"/>
      <color theme="10"/>
      <name val="Arial"/>
    </font>
    <font>
      <b/>
      <sz val="11"/>
      <color rgb="FFFA7D00"/>
      <name val="Calibri"/>
    </font>
    <font>
      <b/>
      <sz val="12"/>
      <color rgb="FF002060"/>
      <name val="Calibri"/>
    </font>
    <font>
      <b/>
      <sz val="12"/>
      <color rgb="FF3F3F76"/>
      <name val="Calibri"/>
    </font>
    <font>
      <b/>
      <sz val="12"/>
      <color rgb="FFFF0000"/>
      <name val="Calibri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3F3F76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CC99"/>
        <bgColor rgb="FFFFCC99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theme="6" tint="0.59999389629810485"/>
        <bgColor rgb="FFD8D8D8"/>
      </patternFill>
    </fill>
    <fill>
      <patternFill patternType="solid">
        <fgColor theme="0" tint="-0.14999847407452621"/>
        <bgColor rgb="FFFFCC99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2" borderId="9" xfId="0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vertical="center"/>
    </xf>
    <xf numFmtId="49" fontId="5" fillId="3" borderId="9" xfId="0" applyNumberFormat="1" applyFont="1" applyFill="1" applyBorder="1" applyAlignment="1">
      <alignment vertical="center"/>
    </xf>
    <xf numFmtId="0" fontId="5" fillId="3" borderId="9" xfId="0" applyFont="1" applyFill="1" applyBorder="1" applyAlignment="1">
      <alignment horizontal="left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 wrapText="1"/>
    </xf>
    <xf numFmtId="0" fontId="7" fillId="4" borderId="9" xfId="0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right" vertical="center" wrapText="1"/>
    </xf>
    <xf numFmtId="0" fontId="7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49" fontId="4" fillId="0" borderId="0" xfId="0" applyNumberFormat="1" applyFont="1" applyAlignment="1">
      <alignment vertical="center"/>
    </xf>
    <xf numFmtId="0" fontId="5" fillId="3" borderId="10" xfId="0" applyFont="1" applyFill="1" applyBorder="1" applyAlignment="1">
      <alignment vertical="center"/>
    </xf>
    <xf numFmtId="0" fontId="5" fillId="3" borderId="10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vertical="center" wrapText="1"/>
    </xf>
    <xf numFmtId="49" fontId="1" fillId="0" borderId="9" xfId="0" applyNumberFormat="1" applyFont="1" applyBorder="1" applyAlignment="1">
      <alignment vertical="center" wrapText="1"/>
    </xf>
    <xf numFmtId="49" fontId="5" fillId="3" borderId="9" xfId="0" applyNumberFormat="1" applyFont="1" applyFill="1" applyBorder="1" applyAlignment="1">
      <alignment horizontal="left" vertical="center"/>
    </xf>
    <xf numFmtId="49" fontId="1" fillId="4" borderId="9" xfId="0" applyNumberFormat="1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top" wrapText="1"/>
    </xf>
    <xf numFmtId="0" fontId="9" fillId="4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horizontal="right" vertical="center" wrapText="1"/>
    </xf>
    <xf numFmtId="49" fontId="1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horizontal="right" vertical="center"/>
    </xf>
    <xf numFmtId="164" fontId="4" fillId="2" borderId="9" xfId="0" applyNumberFormat="1" applyFont="1" applyFill="1" applyBorder="1" applyAlignment="1">
      <alignment horizontal="center" vertical="center" wrapText="1"/>
    </xf>
    <xf numFmtId="0" fontId="10" fillId="5" borderId="13" xfId="0" applyFont="1" applyFill="1" applyBorder="1" applyAlignment="1">
      <alignment vertical="center" wrapText="1"/>
    </xf>
    <xf numFmtId="164" fontId="1" fillId="2" borderId="9" xfId="0" applyNumberFormat="1" applyFont="1" applyFill="1" applyBorder="1" applyAlignment="1">
      <alignment horizontal="center" vertical="center"/>
    </xf>
    <xf numFmtId="2" fontId="1" fillId="2" borderId="9" xfId="0" applyNumberFormat="1" applyFont="1" applyFill="1" applyBorder="1" applyAlignment="1">
      <alignment horizontal="center" vertical="center"/>
    </xf>
    <xf numFmtId="164" fontId="5" fillId="3" borderId="9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164" fontId="4" fillId="2" borderId="9" xfId="0" applyNumberFormat="1" applyFont="1" applyFill="1" applyBorder="1" applyAlignment="1">
      <alignment horizontal="center" vertical="center"/>
    </xf>
    <xf numFmtId="165" fontId="4" fillId="2" borderId="9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2" borderId="9" xfId="0" applyFont="1" applyFill="1" applyBorder="1" applyAlignment="1">
      <alignment horizontal="left" vertical="center" wrapText="1"/>
    </xf>
    <xf numFmtId="9" fontId="11" fillId="3" borderId="9" xfId="0" applyNumberFormat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vertical="center" wrapText="1"/>
    </xf>
    <xf numFmtId="2" fontId="1" fillId="0" borderId="0" xfId="0" applyNumberFormat="1" applyFont="1" applyAlignment="1">
      <alignment vertical="center" wrapText="1"/>
    </xf>
    <xf numFmtId="164" fontId="1" fillId="0" borderId="9" xfId="0" applyNumberFormat="1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right" vertical="center" wrapText="1"/>
    </xf>
    <xf numFmtId="49" fontId="4" fillId="0" borderId="1" xfId="0" applyNumberFormat="1" applyFont="1" applyBorder="1" applyAlignment="1">
      <alignment horizontal="right" vertical="center" wrapText="1"/>
    </xf>
    <xf numFmtId="0" fontId="3" fillId="0" borderId="2" xfId="0" applyFont="1" applyBorder="1"/>
    <xf numFmtId="0" fontId="3" fillId="0" borderId="3" xfId="0" applyFont="1" applyBorder="1"/>
    <xf numFmtId="0" fontId="4" fillId="0" borderId="1" xfId="0" applyFont="1" applyBorder="1" applyAlignment="1">
      <alignment horizontal="right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right" vertical="center" wrapText="1"/>
    </xf>
    <xf numFmtId="0" fontId="3" fillId="0" borderId="7" xfId="0" applyFont="1" applyBorder="1"/>
    <xf numFmtId="0" fontId="3" fillId="0" borderId="8" xfId="0" applyFont="1" applyBorder="1"/>
    <xf numFmtId="2" fontId="13" fillId="0" borderId="0" xfId="0" applyNumberFormat="1" applyFont="1" applyAlignment="1">
      <alignment vertical="center" wrapText="1"/>
    </xf>
    <xf numFmtId="164" fontId="13" fillId="2" borderId="9" xfId="0" applyNumberFormat="1" applyFont="1" applyFill="1" applyBorder="1" applyAlignment="1">
      <alignment horizontal="center" vertical="center" wrapText="1"/>
    </xf>
    <xf numFmtId="164" fontId="13" fillId="6" borderId="9" xfId="0" applyNumberFormat="1" applyFont="1" applyFill="1" applyBorder="1" applyAlignment="1">
      <alignment horizontal="center" vertical="center" wrapText="1"/>
    </xf>
    <xf numFmtId="2" fontId="14" fillId="0" borderId="0" xfId="0" applyNumberFormat="1" applyFont="1" applyAlignment="1">
      <alignment horizontal="right" vertical="center" wrapText="1"/>
    </xf>
    <xf numFmtId="2" fontId="14" fillId="0" borderId="0" xfId="0" applyNumberFormat="1" applyFont="1" applyAlignment="1">
      <alignment vertical="center" wrapText="1"/>
    </xf>
    <xf numFmtId="14" fontId="15" fillId="3" borderId="9" xfId="0" applyNumberFormat="1" applyFont="1" applyFill="1" applyBorder="1" applyAlignment="1">
      <alignment horizontal="center" vertical="center" wrapText="1"/>
    </xf>
    <xf numFmtId="14" fontId="15" fillId="7" borderId="9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600075</xdr:colOff>
      <xdr:row>69</xdr:row>
      <xdr:rowOff>438150</xdr:rowOff>
    </xdr:from>
    <xdr:ext cx="4381500" cy="26670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600075" y="22450425"/>
          <a:ext cx="4381500" cy="2667000"/>
          <a:chOff x="3155250" y="2446500"/>
          <a:chExt cx="4381500" cy="266700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3155250" y="2446500"/>
            <a:ext cx="4381500" cy="2667000"/>
            <a:chOff x="3155250" y="2446500"/>
            <a:chExt cx="4381500" cy="2667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3155250" y="2446500"/>
              <a:ext cx="4381500" cy="2667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3155250" y="2446500"/>
              <a:ext cx="4381500" cy="2667000"/>
              <a:chOff x="3155250" y="2446500"/>
              <a:chExt cx="4381500" cy="2667000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>
              <a:xfrm>
                <a:off x="3155250" y="2446500"/>
                <a:ext cx="4381500" cy="2667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GrpSpPr/>
            </xdr:nvGrpSpPr>
            <xdr:grpSpPr>
              <a:xfrm>
                <a:off x="3155250" y="2446500"/>
                <a:ext cx="4381500" cy="2667000"/>
                <a:chOff x="3155250" y="2446500"/>
                <a:chExt cx="4381500" cy="2667000"/>
              </a:xfrm>
            </xdr:grpSpPr>
            <xdr:sp macro="" textlink="">
              <xdr:nvSpPr>
                <xdr:cNvPr id="8" name="Shape 8">
                  <a:extLst>
                    <a:ext uri="{FF2B5EF4-FFF2-40B4-BE49-F238E27FC236}">
                      <a16:creationId xmlns:a16="http://schemas.microsoft.com/office/drawing/2014/main" id="{00000000-0008-0000-0000-000008000000}"/>
                    </a:ext>
                  </a:extLst>
                </xdr:cNvPr>
                <xdr:cNvSpPr/>
              </xdr:nvSpPr>
              <xdr:spPr>
                <a:xfrm>
                  <a:off x="3155250" y="2446500"/>
                  <a:ext cx="4381500" cy="2667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GrpSpPr/>
              </xdr:nvGrpSpPr>
              <xdr:grpSpPr>
                <a:xfrm>
                  <a:off x="3155250" y="2446500"/>
                  <a:ext cx="4381500" cy="2667000"/>
                  <a:chOff x="3155250" y="2446500"/>
                  <a:chExt cx="4381500" cy="2667000"/>
                </a:xfrm>
              </xdr:grpSpPr>
              <xdr:sp macro="" textlink="">
                <xdr:nvSpPr>
                  <xdr:cNvPr id="10" name="Shape 10">
                    <a:extLst>
                      <a:ext uri="{FF2B5EF4-FFF2-40B4-BE49-F238E27FC236}">
                        <a16:creationId xmlns:a16="http://schemas.microsoft.com/office/drawing/2014/main" id="{00000000-0008-0000-0000-00000A000000}"/>
                      </a:ext>
                    </a:extLst>
                  </xdr:cNvPr>
                  <xdr:cNvSpPr/>
                </xdr:nvSpPr>
                <xdr:spPr>
                  <a:xfrm>
                    <a:off x="3155250" y="2446500"/>
                    <a:ext cx="4381500" cy="2667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" name="Shape 11">
                    <a:extLst>
                      <a:ext uri="{FF2B5EF4-FFF2-40B4-BE49-F238E27FC236}">
                        <a16:creationId xmlns:a16="http://schemas.microsoft.com/office/drawing/2014/main" id="{00000000-0008-0000-0000-00000B000000}"/>
                      </a:ext>
                    </a:extLst>
                  </xdr:cNvPr>
                  <xdr:cNvGrpSpPr/>
                </xdr:nvGrpSpPr>
                <xdr:grpSpPr>
                  <a:xfrm>
                    <a:off x="3155250" y="2446500"/>
                    <a:ext cx="4381500" cy="2667000"/>
                    <a:chOff x="3160013" y="2451263"/>
                    <a:chExt cx="4371975" cy="2657475"/>
                  </a:xfrm>
                </xdr:grpSpPr>
                <xdr:sp macro="" textlink="">
                  <xdr:nvSpPr>
                    <xdr:cNvPr id="12" name="Shape 12">
                      <a:extLst>
                        <a:ext uri="{FF2B5EF4-FFF2-40B4-BE49-F238E27FC236}">
                          <a16:creationId xmlns:a16="http://schemas.microsoft.com/office/drawing/2014/main" id="{00000000-0008-0000-0000-00000C000000}"/>
                        </a:ext>
                      </a:extLst>
                    </xdr:cNvPr>
                    <xdr:cNvSpPr/>
                  </xdr:nvSpPr>
                  <xdr:spPr>
                    <a:xfrm>
                      <a:off x="3160013" y="2451263"/>
                      <a:ext cx="437197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cxnSp macro="">
                  <xdr:nvCxnSpPr>
                    <xdr:cNvPr id="13" name="Shape 13">
                      <a:extLst>
                        <a:ext uri="{FF2B5EF4-FFF2-40B4-BE49-F238E27FC236}">
                          <a16:creationId xmlns:a16="http://schemas.microsoft.com/office/drawing/2014/main" id="{00000000-0008-0000-0000-00000D000000}"/>
                        </a:ext>
                      </a:extLst>
                    </xdr:cNvPr>
                    <xdr:cNvCxnSpPr/>
                  </xdr:nvCxnSpPr>
                  <xdr:spPr>
                    <a:xfrm>
                      <a:off x="3160013" y="2451263"/>
                      <a:ext cx="4371975" cy="2657475"/>
                    </a:xfrm>
                    <a:prstGeom prst="straightConnector1">
                      <a:avLst/>
                    </a:prstGeom>
                    <a:noFill/>
                    <a:ln w="9525" cap="flat" cmpd="sng">
                      <a:solidFill>
                        <a:srgbClr val="4A7DBA"/>
                      </a:solidFill>
                      <a:prstDash val="solid"/>
                      <a:round/>
                      <a:headEnd type="none" w="sm" len="sm"/>
                      <a:tailEnd type="triangle" w="med" len="med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600075</xdr:colOff>
      <xdr:row>69</xdr:row>
      <xdr:rowOff>438150</xdr:rowOff>
    </xdr:from>
    <xdr:ext cx="4381500" cy="26670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600075" y="22583775"/>
          <a:ext cx="4381500" cy="2667000"/>
          <a:chOff x="3155250" y="2446500"/>
          <a:chExt cx="4381500" cy="266700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3155250" y="2446500"/>
            <a:ext cx="4381500" cy="2667000"/>
            <a:chOff x="3155250" y="2446500"/>
            <a:chExt cx="4381500" cy="2667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3155250" y="2446500"/>
              <a:ext cx="4381500" cy="2667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3155250" y="2446500"/>
              <a:ext cx="4381500" cy="2667000"/>
              <a:chOff x="3155250" y="2446500"/>
              <a:chExt cx="4381500" cy="2667000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3155250" y="2446500"/>
                <a:ext cx="4381500" cy="2667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GrpSpPr/>
            </xdr:nvGrpSpPr>
            <xdr:grpSpPr>
              <a:xfrm>
                <a:off x="3155250" y="2446500"/>
                <a:ext cx="4381500" cy="2667000"/>
                <a:chOff x="3155250" y="2446500"/>
                <a:chExt cx="4381500" cy="2667000"/>
              </a:xfrm>
            </xdr:grpSpPr>
            <xdr:sp macro="" textlink="">
              <xdr:nvSpPr>
                <xdr:cNvPr id="8" name="Shape 8">
                  <a:extLst>
                    <a:ext uri="{FF2B5EF4-FFF2-40B4-BE49-F238E27FC236}">
                      <a16:creationId xmlns:a16="http://schemas.microsoft.com/office/drawing/2014/main" id="{00000000-0008-0000-0100-000008000000}"/>
                    </a:ext>
                  </a:extLst>
                </xdr:cNvPr>
                <xdr:cNvSpPr/>
              </xdr:nvSpPr>
              <xdr:spPr>
                <a:xfrm>
                  <a:off x="3155250" y="2446500"/>
                  <a:ext cx="4381500" cy="2667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100-000009000000}"/>
                    </a:ext>
                  </a:extLst>
                </xdr:cNvPr>
                <xdr:cNvGrpSpPr/>
              </xdr:nvGrpSpPr>
              <xdr:grpSpPr>
                <a:xfrm>
                  <a:off x="3155250" y="2446500"/>
                  <a:ext cx="4381500" cy="2667000"/>
                  <a:chOff x="3155250" y="2446500"/>
                  <a:chExt cx="4381500" cy="2667000"/>
                </a:xfrm>
              </xdr:grpSpPr>
              <xdr:sp macro="" textlink="">
                <xdr:nvSpPr>
                  <xdr:cNvPr id="10" name="Shape 10">
                    <a:extLst>
                      <a:ext uri="{FF2B5EF4-FFF2-40B4-BE49-F238E27FC236}">
                        <a16:creationId xmlns:a16="http://schemas.microsoft.com/office/drawing/2014/main" id="{00000000-0008-0000-0100-00000A000000}"/>
                      </a:ext>
                    </a:extLst>
                  </xdr:cNvPr>
                  <xdr:cNvSpPr/>
                </xdr:nvSpPr>
                <xdr:spPr>
                  <a:xfrm>
                    <a:off x="3155250" y="2446500"/>
                    <a:ext cx="4381500" cy="2667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" name="Shape 11">
                    <a:extLst>
                      <a:ext uri="{FF2B5EF4-FFF2-40B4-BE49-F238E27FC236}">
                        <a16:creationId xmlns:a16="http://schemas.microsoft.com/office/drawing/2014/main" id="{00000000-0008-0000-0100-00000B000000}"/>
                      </a:ext>
                    </a:extLst>
                  </xdr:cNvPr>
                  <xdr:cNvGrpSpPr/>
                </xdr:nvGrpSpPr>
                <xdr:grpSpPr>
                  <a:xfrm>
                    <a:off x="3155250" y="2446500"/>
                    <a:ext cx="4381500" cy="2667000"/>
                    <a:chOff x="3160013" y="2451263"/>
                    <a:chExt cx="4371975" cy="2657475"/>
                  </a:xfrm>
                </xdr:grpSpPr>
                <xdr:sp macro="" textlink="">
                  <xdr:nvSpPr>
                    <xdr:cNvPr id="12" name="Shape 12">
                      <a:extLst>
                        <a:ext uri="{FF2B5EF4-FFF2-40B4-BE49-F238E27FC236}">
                          <a16:creationId xmlns:a16="http://schemas.microsoft.com/office/drawing/2014/main" id="{00000000-0008-0000-0100-00000C000000}"/>
                        </a:ext>
                      </a:extLst>
                    </xdr:cNvPr>
                    <xdr:cNvSpPr/>
                  </xdr:nvSpPr>
                  <xdr:spPr>
                    <a:xfrm>
                      <a:off x="3160013" y="2451263"/>
                      <a:ext cx="437197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cxnSp macro="">
                  <xdr:nvCxnSpPr>
                    <xdr:cNvPr id="13" name="Shape 13">
                      <a:extLst>
                        <a:ext uri="{FF2B5EF4-FFF2-40B4-BE49-F238E27FC236}">
                          <a16:creationId xmlns:a16="http://schemas.microsoft.com/office/drawing/2014/main" id="{00000000-0008-0000-0100-00000D000000}"/>
                        </a:ext>
                      </a:extLst>
                    </xdr:cNvPr>
                    <xdr:cNvCxnSpPr/>
                  </xdr:nvCxnSpPr>
                  <xdr:spPr>
                    <a:xfrm>
                      <a:off x="3160013" y="2451263"/>
                      <a:ext cx="4371975" cy="2657475"/>
                    </a:xfrm>
                    <a:prstGeom prst="straightConnector1">
                      <a:avLst/>
                    </a:prstGeom>
                    <a:noFill/>
                    <a:ln w="9525" cap="flat" cmpd="sng">
                      <a:solidFill>
                        <a:srgbClr val="4A7DBA"/>
                      </a:solidFill>
                      <a:prstDash val="solid"/>
                      <a:round/>
                      <a:headEnd type="none" w="sm" len="sm"/>
                      <a:tailEnd type="triangle" w="med" len="med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600075</xdr:colOff>
      <xdr:row>69</xdr:row>
      <xdr:rowOff>438150</xdr:rowOff>
    </xdr:from>
    <xdr:ext cx="4381500" cy="26670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600075" y="22583775"/>
          <a:ext cx="4381500" cy="2667000"/>
          <a:chOff x="3155250" y="2446500"/>
          <a:chExt cx="4381500" cy="266700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pSpPr/>
        </xdr:nvGrpSpPr>
        <xdr:grpSpPr>
          <a:xfrm>
            <a:off x="3155250" y="2446500"/>
            <a:ext cx="4381500" cy="2667000"/>
            <a:chOff x="3155250" y="2446500"/>
            <a:chExt cx="4381500" cy="2667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3155250" y="2446500"/>
              <a:ext cx="4381500" cy="2667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GrpSpPr/>
          </xdr:nvGrpSpPr>
          <xdr:grpSpPr>
            <a:xfrm>
              <a:off x="3155250" y="2446500"/>
              <a:ext cx="4381500" cy="2667000"/>
              <a:chOff x="3155250" y="2446500"/>
              <a:chExt cx="4381500" cy="2667000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200-000006000000}"/>
                  </a:ext>
                </a:extLst>
              </xdr:cNvPr>
              <xdr:cNvSpPr/>
            </xdr:nvSpPr>
            <xdr:spPr>
              <a:xfrm>
                <a:off x="3155250" y="2446500"/>
                <a:ext cx="4381500" cy="2667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>
                <a:extLst>
                  <a:ext uri="{FF2B5EF4-FFF2-40B4-BE49-F238E27FC236}">
                    <a16:creationId xmlns:a16="http://schemas.microsoft.com/office/drawing/2014/main" id="{00000000-0008-0000-0200-000007000000}"/>
                  </a:ext>
                </a:extLst>
              </xdr:cNvPr>
              <xdr:cNvGrpSpPr/>
            </xdr:nvGrpSpPr>
            <xdr:grpSpPr>
              <a:xfrm>
                <a:off x="3155250" y="2446500"/>
                <a:ext cx="4381500" cy="2667000"/>
                <a:chOff x="3155250" y="2446500"/>
                <a:chExt cx="4381500" cy="2667000"/>
              </a:xfrm>
            </xdr:grpSpPr>
            <xdr:sp macro="" textlink="">
              <xdr:nvSpPr>
                <xdr:cNvPr id="8" name="Shape 8">
                  <a:extLst>
                    <a:ext uri="{FF2B5EF4-FFF2-40B4-BE49-F238E27FC236}">
                      <a16:creationId xmlns:a16="http://schemas.microsoft.com/office/drawing/2014/main" id="{00000000-0008-0000-0200-000008000000}"/>
                    </a:ext>
                  </a:extLst>
                </xdr:cNvPr>
                <xdr:cNvSpPr/>
              </xdr:nvSpPr>
              <xdr:spPr>
                <a:xfrm>
                  <a:off x="3155250" y="2446500"/>
                  <a:ext cx="4381500" cy="2667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200-000009000000}"/>
                    </a:ext>
                  </a:extLst>
                </xdr:cNvPr>
                <xdr:cNvGrpSpPr/>
              </xdr:nvGrpSpPr>
              <xdr:grpSpPr>
                <a:xfrm>
                  <a:off x="3155250" y="2446500"/>
                  <a:ext cx="4381500" cy="2667000"/>
                  <a:chOff x="3155250" y="2446500"/>
                  <a:chExt cx="4381500" cy="2667000"/>
                </a:xfrm>
              </xdr:grpSpPr>
              <xdr:sp macro="" textlink="">
                <xdr:nvSpPr>
                  <xdr:cNvPr id="10" name="Shape 10">
                    <a:extLst>
                      <a:ext uri="{FF2B5EF4-FFF2-40B4-BE49-F238E27FC236}">
                        <a16:creationId xmlns:a16="http://schemas.microsoft.com/office/drawing/2014/main" id="{00000000-0008-0000-0200-00000A000000}"/>
                      </a:ext>
                    </a:extLst>
                  </xdr:cNvPr>
                  <xdr:cNvSpPr/>
                </xdr:nvSpPr>
                <xdr:spPr>
                  <a:xfrm>
                    <a:off x="3155250" y="2446500"/>
                    <a:ext cx="4381500" cy="2667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" name="Shape 11">
                    <a:extLst>
                      <a:ext uri="{FF2B5EF4-FFF2-40B4-BE49-F238E27FC236}">
                        <a16:creationId xmlns:a16="http://schemas.microsoft.com/office/drawing/2014/main" id="{00000000-0008-0000-0200-00000B000000}"/>
                      </a:ext>
                    </a:extLst>
                  </xdr:cNvPr>
                  <xdr:cNvGrpSpPr/>
                </xdr:nvGrpSpPr>
                <xdr:grpSpPr>
                  <a:xfrm>
                    <a:off x="3155250" y="2446500"/>
                    <a:ext cx="4381500" cy="2667000"/>
                    <a:chOff x="3160013" y="2451263"/>
                    <a:chExt cx="4371975" cy="2657475"/>
                  </a:xfrm>
                </xdr:grpSpPr>
                <xdr:sp macro="" textlink="">
                  <xdr:nvSpPr>
                    <xdr:cNvPr id="12" name="Shape 12">
                      <a:extLst>
                        <a:ext uri="{FF2B5EF4-FFF2-40B4-BE49-F238E27FC236}">
                          <a16:creationId xmlns:a16="http://schemas.microsoft.com/office/drawing/2014/main" id="{00000000-0008-0000-0200-00000C000000}"/>
                        </a:ext>
                      </a:extLst>
                    </xdr:cNvPr>
                    <xdr:cNvSpPr/>
                  </xdr:nvSpPr>
                  <xdr:spPr>
                    <a:xfrm>
                      <a:off x="3160013" y="2451263"/>
                      <a:ext cx="437197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cxnSp macro="">
                  <xdr:nvCxnSpPr>
                    <xdr:cNvPr id="13" name="Shape 13">
                      <a:extLst>
                        <a:ext uri="{FF2B5EF4-FFF2-40B4-BE49-F238E27FC236}">
                          <a16:creationId xmlns:a16="http://schemas.microsoft.com/office/drawing/2014/main" id="{00000000-0008-0000-0200-00000D000000}"/>
                        </a:ext>
                      </a:extLst>
                    </xdr:cNvPr>
                    <xdr:cNvCxnSpPr/>
                  </xdr:nvCxnSpPr>
                  <xdr:spPr>
                    <a:xfrm>
                      <a:off x="3160013" y="2451263"/>
                      <a:ext cx="4371975" cy="2657475"/>
                    </a:xfrm>
                    <a:prstGeom prst="straightConnector1">
                      <a:avLst/>
                    </a:prstGeom>
                    <a:noFill/>
                    <a:ln w="9525" cap="flat" cmpd="sng">
                      <a:solidFill>
                        <a:srgbClr val="4A7DBA"/>
                      </a:solidFill>
                      <a:prstDash val="solid"/>
                      <a:round/>
                      <a:headEnd type="none" w="sm" len="sm"/>
                      <a:tailEnd type="triangle" w="med" len="med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1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1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1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7"/>
  <sheetViews>
    <sheetView topLeftCell="A83" workbookViewId="0">
      <selection activeCell="B96" sqref="B96"/>
    </sheetView>
  </sheetViews>
  <sheetFormatPr baseColWidth="10" defaultColWidth="12.7109375" defaultRowHeight="15" customHeight="1" x14ac:dyDescent="0.2"/>
  <cols>
    <col min="1" max="1" width="27.7109375" customWidth="1"/>
    <col min="2" max="2" width="51.140625" customWidth="1"/>
    <col min="3" max="3" width="42.7109375" customWidth="1"/>
    <col min="4" max="4" width="38.7109375" customWidth="1"/>
    <col min="5" max="5" width="13.7109375" customWidth="1"/>
    <col min="6" max="6" width="16.140625" customWidth="1"/>
    <col min="7" max="7" width="16.7109375" customWidth="1"/>
    <col min="8" max="8" width="34.28515625" customWidth="1"/>
    <col min="9" max="9" width="10.7109375" customWidth="1"/>
    <col min="10" max="10" width="13.7109375" customWidth="1"/>
    <col min="11" max="26" width="9.140625" customWidth="1"/>
  </cols>
  <sheetData>
    <row r="1" spans="1:26" ht="27.75" customHeight="1" x14ac:dyDescent="0.2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.75" customHeight="1" x14ac:dyDescent="0.2">
      <c r="A2" s="4"/>
      <c r="B2" s="72" t="s">
        <v>0</v>
      </c>
      <c r="C2" s="68"/>
      <c r="D2" s="68"/>
      <c r="E2" s="68"/>
      <c r="F2" s="68"/>
      <c r="G2" s="69"/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7.75" customHeight="1" x14ac:dyDescent="0.2">
      <c r="A3" s="4"/>
      <c r="B3" s="6" t="s">
        <v>1</v>
      </c>
      <c r="C3" s="4" t="s">
        <v>2</v>
      </c>
      <c r="D3" s="7"/>
      <c r="E3" s="7"/>
      <c r="F3" s="7"/>
      <c r="G3" s="8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7.75" customHeight="1" x14ac:dyDescent="0.2">
      <c r="A4" s="4"/>
      <c r="B4" s="9" t="s">
        <v>3</v>
      </c>
      <c r="C4" s="10" t="s">
        <v>4</v>
      </c>
      <c r="D4" s="11"/>
      <c r="E4" s="11"/>
      <c r="F4" s="11"/>
      <c r="G4" s="12"/>
      <c r="H4" s="7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7.75" customHeight="1" x14ac:dyDescent="0.2">
      <c r="A5" s="1"/>
      <c r="B5" s="13"/>
      <c r="C5" s="1"/>
      <c r="D5" s="14"/>
      <c r="E5" s="14"/>
      <c r="F5" s="14"/>
      <c r="G5" s="14"/>
      <c r="H5" s="1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.75" customHeight="1" x14ac:dyDescent="0.2">
      <c r="A6" s="1"/>
      <c r="B6" s="1"/>
      <c r="C6" s="1"/>
      <c r="D6" s="2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5" t="s">
        <v>5</v>
      </c>
      <c r="B7" s="16" t="s">
        <v>6</v>
      </c>
      <c r="C7" s="17" t="s">
        <v>7</v>
      </c>
      <c r="D7" s="17" t="s">
        <v>8</v>
      </c>
      <c r="E7" s="16" t="s">
        <v>9</v>
      </c>
      <c r="F7" s="16" t="s">
        <v>10</v>
      </c>
      <c r="G7" s="16" t="s">
        <v>11</v>
      </c>
      <c r="H7" s="14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27.75" customHeight="1" x14ac:dyDescent="0.2">
      <c r="A8" s="1"/>
      <c r="B8" s="18" t="s">
        <v>12</v>
      </c>
      <c r="C8" s="19" t="s">
        <v>13</v>
      </c>
      <c r="D8" s="20" t="s">
        <v>14</v>
      </c>
      <c r="E8" s="21">
        <f t="shared" ref="E8:E12" si="0">IF(C8="Simple",1,IF(C8="Intermedio",2,IF(C8="Complejo",3,"error")))</f>
        <v>3</v>
      </c>
      <c r="F8" s="22">
        <v>1</v>
      </c>
      <c r="G8" s="21">
        <f t="shared" ref="G8:G12" si="1">E8*F8</f>
        <v>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5" customHeight="1" x14ac:dyDescent="0.2">
      <c r="A9" s="1"/>
      <c r="B9" s="18" t="s">
        <v>15</v>
      </c>
      <c r="C9" s="19" t="s">
        <v>13</v>
      </c>
      <c r="D9" s="23" t="s">
        <v>16</v>
      </c>
      <c r="E9" s="21">
        <f t="shared" si="0"/>
        <v>3</v>
      </c>
      <c r="F9" s="22">
        <v>3</v>
      </c>
      <c r="G9" s="21">
        <f t="shared" si="1"/>
        <v>9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.75" customHeight="1" x14ac:dyDescent="0.2">
      <c r="A10" s="1"/>
      <c r="B10" s="18" t="s">
        <v>17</v>
      </c>
      <c r="C10" s="19" t="s">
        <v>18</v>
      </c>
      <c r="D10" s="23" t="s">
        <v>19</v>
      </c>
      <c r="E10" s="21">
        <f t="shared" si="0"/>
        <v>2</v>
      </c>
      <c r="F10" s="22">
        <v>1</v>
      </c>
      <c r="G10" s="21">
        <f t="shared" si="1"/>
        <v>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.75" customHeight="1" x14ac:dyDescent="0.2">
      <c r="A11" s="1"/>
      <c r="B11" s="18" t="s">
        <v>20</v>
      </c>
      <c r="C11" s="19" t="s">
        <v>21</v>
      </c>
      <c r="D11" s="23" t="s">
        <v>22</v>
      </c>
      <c r="E11" s="21">
        <f t="shared" si="0"/>
        <v>1</v>
      </c>
      <c r="F11" s="22">
        <v>1</v>
      </c>
      <c r="G11" s="21">
        <f t="shared" si="1"/>
        <v>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.75" customHeight="1" x14ac:dyDescent="0.2">
      <c r="A12" s="1"/>
      <c r="B12" s="18" t="s">
        <v>23</v>
      </c>
      <c r="C12" s="19" t="s">
        <v>21</v>
      </c>
      <c r="D12" s="23" t="s">
        <v>24</v>
      </c>
      <c r="E12" s="21">
        <f t="shared" si="0"/>
        <v>1</v>
      </c>
      <c r="F12" s="22">
        <v>1</v>
      </c>
      <c r="G12" s="21">
        <f t="shared" si="1"/>
        <v>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.75" customHeight="1" x14ac:dyDescent="0.2">
      <c r="A13" s="1"/>
      <c r="B13" s="24"/>
      <c r="C13" s="67" t="s">
        <v>25</v>
      </c>
      <c r="D13" s="68"/>
      <c r="E13" s="68"/>
      <c r="F13" s="69"/>
      <c r="G13" s="26">
        <f>SUM(G8:G12)</f>
        <v>16</v>
      </c>
      <c r="H13" s="1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7.75" customHeight="1" x14ac:dyDescent="0.2">
      <c r="A14" s="1"/>
      <c r="B14" s="15"/>
      <c r="C14" s="27" t="s">
        <v>26</v>
      </c>
      <c r="D14" s="3"/>
      <c r="E14" s="3"/>
      <c r="F14" s="3"/>
      <c r="G14" s="28"/>
      <c r="H14" s="1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.75" customHeight="1" x14ac:dyDescent="0.2">
      <c r="A15" s="1"/>
      <c r="B15" s="15"/>
      <c r="C15" s="29"/>
      <c r="D15" s="29"/>
      <c r="E15" s="30"/>
      <c r="F15" s="15"/>
      <c r="G15" s="15"/>
      <c r="H15" s="15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7.75" customHeight="1" x14ac:dyDescent="0.2">
      <c r="A16" s="15" t="s">
        <v>27</v>
      </c>
      <c r="B16" s="16" t="s">
        <v>28</v>
      </c>
      <c r="C16" s="16" t="s">
        <v>29</v>
      </c>
      <c r="D16" s="17" t="s">
        <v>30</v>
      </c>
      <c r="E16" s="17" t="s">
        <v>31</v>
      </c>
      <c r="F16" s="16" t="s">
        <v>9</v>
      </c>
      <c r="G16" s="14"/>
      <c r="H16" s="1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31"/>
      <c r="U16" s="1"/>
      <c r="V16" s="1"/>
      <c r="W16" s="1"/>
      <c r="X16" s="1"/>
      <c r="Y16" s="1"/>
      <c r="Z16" s="1"/>
    </row>
    <row r="17" spans="1:26" ht="27.75" customHeight="1" x14ac:dyDescent="0.2">
      <c r="A17" s="1"/>
      <c r="B17" s="32" t="s">
        <v>33</v>
      </c>
      <c r="C17" s="33" t="s">
        <v>32</v>
      </c>
      <c r="D17" s="33">
        <v>3</v>
      </c>
      <c r="E17" s="34" t="str">
        <f t="shared" ref="E17:E24" si="2">IF($D17&gt;0,IF($D17&lt;=3,"Simple",IF(AND($D17&gt;3,$D17&lt;7),"Intermedio",IF($D17&gt;=7,"Complejo","error"))),"-")</f>
        <v>Simple</v>
      </c>
      <c r="F17" s="21">
        <f t="shared" ref="F17:F24" si="3">IF($D17&gt;0,IF($D17&lt;=3,5,IF(AND($D17&gt;3,$D17&lt;7),10,IF($D17&gt;=7,15,"error"))),0)</f>
        <v>5</v>
      </c>
      <c r="G17" s="1"/>
      <c r="H17" s="1"/>
      <c r="I17" s="1"/>
      <c r="J17" s="1"/>
      <c r="K17" s="31"/>
      <c r="L17" s="1"/>
      <c r="M17" s="1"/>
      <c r="N17" s="1"/>
      <c r="O17" s="1"/>
      <c r="P17" s="1"/>
      <c r="Q17" s="1"/>
      <c r="R17" s="1"/>
      <c r="S17" s="1"/>
      <c r="T17" s="31"/>
      <c r="U17" s="1"/>
      <c r="V17" s="1"/>
      <c r="W17" s="1"/>
      <c r="X17" s="1"/>
      <c r="Y17" s="1"/>
      <c r="Z17" s="1"/>
    </row>
    <row r="18" spans="1:26" ht="27.75" customHeight="1" x14ac:dyDescent="0.2">
      <c r="A18" s="1"/>
      <c r="B18" s="32" t="s">
        <v>34</v>
      </c>
      <c r="C18" s="33" t="s">
        <v>35</v>
      </c>
      <c r="D18" s="33">
        <v>3</v>
      </c>
      <c r="E18" s="34" t="str">
        <f t="shared" si="2"/>
        <v>Simple</v>
      </c>
      <c r="F18" s="21">
        <f t="shared" si="3"/>
        <v>5</v>
      </c>
      <c r="G18" s="1"/>
      <c r="H18" s="1"/>
      <c r="I18" s="1"/>
      <c r="J18" s="1"/>
      <c r="K18" s="31"/>
      <c r="L18" s="1"/>
      <c r="M18" s="1"/>
      <c r="N18" s="1"/>
      <c r="O18" s="1"/>
      <c r="P18" s="1"/>
      <c r="Q18" s="1"/>
      <c r="R18" s="1"/>
      <c r="S18" s="1"/>
      <c r="T18" s="31"/>
      <c r="U18" s="1"/>
      <c r="V18" s="1"/>
      <c r="W18" s="1"/>
      <c r="X18" s="1"/>
      <c r="Y18" s="1"/>
      <c r="Z18" s="1"/>
    </row>
    <row r="19" spans="1:26" ht="27.75" customHeight="1" x14ac:dyDescent="0.2">
      <c r="A19" s="1"/>
      <c r="B19" s="32" t="s">
        <v>36</v>
      </c>
      <c r="C19" s="33" t="s">
        <v>35</v>
      </c>
      <c r="D19" s="33">
        <v>3</v>
      </c>
      <c r="E19" s="34" t="str">
        <f t="shared" si="2"/>
        <v>Simple</v>
      </c>
      <c r="F19" s="21">
        <f t="shared" si="3"/>
        <v>5</v>
      </c>
      <c r="G19" s="1"/>
      <c r="H19" s="1"/>
      <c r="I19" s="1"/>
      <c r="J19" s="1"/>
      <c r="K19" s="31"/>
      <c r="L19" s="1"/>
      <c r="M19" s="1"/>
      <c r="N19" s="1"/>
      <c r="O19" s="1"/>
      <c r="P19" s="1"/>
      <c r="Q19" s="1"/>
      <c r="R19" s="1"/>
      <c r="S19" s="1"/>
      <c r="T19" s="31"/>
      <c r="U19" s="1"/>
      <c r="V19" s="1"/>
      <c r="W19" s="1"/>
      <c r="X19" s="1"/>
      <c r="Y19" s="1"/>
      <c r="Z19" s="1"/>
    </row>
    <row r="20" spans="1:26" ht="27.75" customHeight="1" x14ac:dyDescent="0.2">
      <c r="A20" s="1"/>
      <c r="B20" s="32" t="s">
        <v>37</v>
      </c>
      <c r="C20" s="33" t="s">
        <v>35</v>
      </c>
      <c r="D20" s="33">
        <v>3</v>
      </c>
      <c r="E20" s="34" t="str">
        <f t="shared" si="2"/>
        <v>Simple</v>
      </c>
      <c r="F20" s="21">
        <f t="shared" si="3"/>
        <v>5</v>
      </c>
      <c r="G20" s="1"/>
      <c r="H20" s="1"/>
      <c r="I20" s="1"/>
      <c r="J20" s="1"/>
      <c r="K20" s="31"/>
      <c r="L20" s="1"/>
      <c r="M20" s="1"/>
      <c r="N20" s="1"/>
      <c r="O20" s="1"/>
      <c r="P20" s="1"/>
      <c r="Q20" s="1"/>
      <c r="R20" s="1"/>
      <c r="S20" s="1"/>
      <c r="T20" s="31"/>
      <c r="U20" s="1"/>
      <c r="V20" s="1"/>
      <c r="W20" s="1"/>
      <c r="X20" s="1"/>
      <c r="Y20" s="1"/>
      <c r="Z20" s="1"/>
    </row>
    <row r="21" spans="1:26" ht="27.75" customHeight="1" x14ac:dyDescent="0.2">
      <c r="A21" s="1"/>
      <c r="B21" s="32" t="s">
        <v>38</v>
      </c>
      <c r="C21" s="33" t="s">
        <v>35</v>
      </c>
      <c r="D21" s="33">
        <v>3</v>
      </c>
      <c r="E21" s="34" t="str">
        <f t="shared" si="2"/>
        <v>Simple</v>
      </c>
      <c r="F21" s="21">
        <f t="shared" si="3"/>
        <v>5</v>
      </c>
      <c r="G21" s="1"/>
      <c r="H21" s="1"/>
      <c r="I21" s="1"/>
      <c r="J21" s="1"/>
      <c r="K21" s="31"/>
      <c r="L21" s="1"/>
      <c r="M21" s="1"/>
      <c r="N21" s="1"/>
      <c r="O21" s="1"/>
      <c r="P21" s="1"/>
      <c r="Q21" s="1"/>
      <c r="R21" s="1"/>
      <c r="S21" s="1"/>
      <c r="T21" s="31"/>
      <c r="U21" s="1"/>
      <c r="V21" s="1"/>
      <c r="W21" s="1"/>
      <c r="X21" s="1"/>
      <c r="Y21" s="1"/>
      <c r="Z21" s="1"/>
    </row>
    <row r="22" spans="1:26" ht="27.75" customHeight="1" x14ac:dyDescent="0.2">
      <c r="A22" s="1"/>
      <c r="B22" s="32" t="s">
        <v>39</v>
      </c>
      <c r="C22" s="33" t="s">
        <v>40</v>
      </c>
      <c r="D22" s="33">
        <v>4</v>
      </c>
      <c r="E22" s="34" t="str">
        <f t="shared" si="2"/>
        <v>Intermedio</v>
      </c>
      <c r="F22" s="21">
        <f t="shared" si="3"/>
        <v>10</v>
      </c>
      <c r="G22" s="1"/>
      <c r="H22" s="1"/>
      <c r="I22" s="1"/>
      <c r="J22" s="1"/>
      <c r="K22" s="31"/>
      <c r="L22" s="1"/>
      <c r="M22" s="1"/>
      <c r="N22" s="1"/>
      <c r="O22" s="1"/>
      <c r="P22" s="1"/>
      <c r="Q22" s="1"/>
      <c r="R22" s="1"/>
      <c r="S22" s="1"/>
      <c r="T22" s="31"/>
      <c r="U22" s="1"/>
      <c r="V22" s="1"/>
      <c r="W22" s="1"/>
      <c r="X22" s="1"/>
      <c r="Y22" s="1"/>
      <c r="Z22" s="1"/>
    </row>
    <row r="23" spans="1:26" ht="27.75" customHeight="1" x14ac:dyDescent="0.2">
      <c r="A23" s="1"/>
      <c r="B23" s="32" t="s">
        <v>41</v>
      </c>
      <c r="C23" s="33" t="s">
        <v>42</v>
      </c>
      <c r="D23" s="33">
        <v>4</v>
      </c>
      <c r="E23" s="34" t="str">
        <f t="shared" si="2"/>
        <v>Intermedio</v>
      </c>
      <c r="F23" s="21">
        <f t="shared" si="3"/>
        <v>10</v>
      </c>
      <c r="G23" s="1"/>
      <c r="H23" s="1"/>
      <c r="I23" s="1"/>
      <c r="J23" s="1"/>
      <c r="K23" s="31"/>
      <c r="L23" s="1"/>
      <c r="M23" s="1"/>
      <c r="N23" s="1"/>
      <c r="O23" s="1"/>
      <c r="P23" s="1"/>
      <c r="Q23" s="1"/>
      <c r="R23" s="1"/>
      <c r="S23" s="1"/>
      <c r="T23" s="31"/>
      <c r="U23" s="1"/>
      <c r="V23" s="1"/>
      <c r="W23" s="1"/>
      <c r="X23" s="1"/>
      <c r="Y23" s="1"/>
      <c r="Z23" s="1"/>
    </row>
    <row r="24" spans="1:26" ht="27.75" customHeight="1" x14ac:dyDescent="0.2">
      <c r="A24" s="1"/>
      <c r="B24" s="32" t="s">
        <v>43</v>
      </c>
      <c r="C24" s="33" t="s">
        <v>35</v>
      </c>
      <c r="D24" s="33">
        <v>3</v>
      </c>
      <c r="E24" s="34" t="str">
        <f t="shared" si="2"/>
        <v>Simple</v>
      </c>
      <c r="F24" s="21">
        <f t="shared" si="3"/>
        <v>5</v>
      </c>
      <c r="G24" s="1"/>
      <c r="H24" s="1"/>
      <c r="I24" s="1"/>
      <c r="J24" s="1"/>
      <c r="K24" s="31"/>
      <c r="L24" s="1"/>
      <c r="M24" s="1"/>
      <c r="N24" s="1"/>
      <c r="O24" s="1"/>
      <c r="P24" s="1"/>
      <c r="Q24" s="1"/>
      <c r="R24" s="1"/>
      <c r="S24" s="1"/>
      <c r="T24" s="31"/>
      <c r="U24" s="1"/>
      <c r="V24" s="1"/>
      <c r="W24" s="1"/>
      <c r="X24" s="1"/>
      <c r="Y24" s="1"/>
      <c r="Z24" s="1"/>
    </row>
    <row r="25" spans="1:26" ht="27.75" customHeight="1" x14ac:dyDescent="0.2">
      <c r="A25" s="1"/>
      <c r="B25" s="35"/>
      <c r="C25" s="73" t="s">
        <v>44</v>
      </c>
      <c r="D25" s="74"/>
      <c r="E25" s="75"/>
      <c r="F25" s="36">
        <f>SUM(F17:F24)</f>
        <v>50</v>
      </c>
      <c r="G25" s="1"/>
      <c r="H25" s="1"/>
      <c r="I25" s="1"/>
      <c r="J25" s="1"/>
      <c r="K25" s="31"/>
      <c r="L25" s="1"/>
      <c r="M25" s="1"/>
      <c r="N25" s="1"/>
      <c r="O25" s="1"/>
      <c r="P25" s="1"/>
      <c r="Q25" s="1"/>
      <c r="R25" s="1"/>
      <c r="S25" s="1"/>
      <c r="T25" s="31"/>
      <c r="U25" s="1"/>
      <c r="V25" s="1"/>
      <c r="W25" s="1"/>
      <c r="X25" s="1"/>
      <c r="Y25" s="1"/>
      <c r="Z25" s="1"/>
    </row>
    <row r="26" spans="1:26" ht="27.75" customHeight="1" x14ac:dyDescent="0.2">
      <c r="A26" s="1"/>
      <c r="G26" s="1"/>
      <c r="H26" s="1"/>
      <c r="I26" s="1"/>
      <c r="J26" s="1"/>
      <c r="K26" s="31"/>
      <c r="L26" s="1"/>
      <c r="M26" s="1"/>
      <c r="N26" s="1"/>
      <c r="O26" s="1"/>
      <c r="P26" s="1"/>
      <c r="Q26" s="1"/>
      <c r="R26" s="1"/>
      <c r="S26" s="1"/>
      <c r="T26" s="31"/>
      <c r="U26" s="1"/>
      <c r="V26" s="1"/>
      <c r="W26" s="1"/>
      <c r="X26" s="1"/>
      <c r="Y26" s="1"/>
      <c r="Z26" s="1"/>
    </row>
    <row r="27" spans="1:26" ht="27.75" customHeight="1" x14ac:dyDescent="0.2">
      <c r="A27" s="1"/>
      <c r="G27" s="1"/>
      <c r="H27" s="1"/>
      <c r="I27" s="1"/>
      <c r="J27" s="1"/>
      <c r="K27" s="31"/>
      <c r="L27" s="1"/>
      <c r="M27" s="1"/>
      <c r="N27" s="1"/>
      <c r="O27" s="1"/>
      <c r="P27" s="1"/>
      <c r="Q27" s="1"/>
      <c r="R27" s="1"/>
      <c r="S27" s="1"/>
      <c r="T27" s="31"/>
      <c r="U27" s="1"/>
      <c r="V27" s="1"/>
      <c r="W27" s="1"/>
      <c r="X27" s="1"/>
      <c r="Y27" s="1"/>
      <c r="Z27" s="1"/>
    </row>
    <row r="28" spans="1:26" ht="27.75" customHeight="1" x14ac:dyDescent="0.2">
      <c r="A28" s="1"/>
      <c r="G28" s="1"/>
      <c r="H28" s="1"/>
      <c r="I28" s="1"/>
      <c r="J28" s="1"/>
      <c r="K28" s="31"/>
      <c r="L28" s="1"/>
      <c r="M28" s="1"/>
      <c r="N28" s="1"/>
      <c r="O28" s="1"/>
      <c r="P28" s="1"/>
      <c r="Q28" s="1"/>
      <c r="R28" s="1"/>
      <c r="S28" s="1"/>
      <c r="T28" s="31"/>
      <c r="U28" s="1"/>
      <c r="V28" s="1"/>
      <c r="W28" s="1"/>
      <c r="X28" s="1"/>
      <c r="Y28" s="1"/>
      <c r="Z28" s="1"/>
    </row>
    <row r="29" spans="1:26" ht="27.75" customHeight="1" x14ac:dyDescent="0.2">
      <c r="A29" s="15" t="s">
        <v>45</v>
      </c>
      <c r="B29" s="37"/>
      <c r="C29" s="67" t="s">
        <v>46</v>
      </c>
      <c r="D29" s="68"/>
      <c r="E29" s="69"/>
      <c r="F29" s="26">
        <f>G13+F25</f>
        <v>66</v>
      </c>
      <c r="G29" s="1"/>
      <c r="H29" s="15"/>
      <c r="I29" s="1"/>
      <c r="J29" s="1"/>
      <c r="K29" s="3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7.75" customHeight="1" x14ac:dyDescent="0.2">
      <c r="A30" s="1"/>
      <c r="B30" s="1"/>
      <c r="C30" s="1"/>
      <c r="D30" s="2"/>
      <c r="E30" s="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7.75" customHeight="1" x14ac:dyDescent="0.2">
      <c r="A31" s="1"/>
      <c r="B31" s="1"/>
      <c r="C31" s="1"/>
      <c r="D31" s="2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7.75" customHeight="1" x14ac:dyDescent="0.2">
      <c r="G32" s="1"/>
      <c r="H32" s="15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7.75" customHeight="1" x14ac:dyDescent="0.2">
      <c r="A33" s="1"/>
      <c r="B33" s="1"/>
      <c r="C33" s="1"/>
      <c r="D33" s="2"/>
      <c r="E33" s="3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7.75" customHeight="1" x14ac:dyDescent="0.2">
      <c r="A34" s="1"/>
      <c r="B34" s="3"/>
      <c r="C34" s="1"/>
      <c r="D34" s="2"/>
      <c r="E34" s="3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7.75" customHeight="1" x14ac:dyDescent="0.2">
      <c r="A35" s="15" t="s">
        <v>47</v>
      </c>
      <c r="B35" s="17" t="s">
        <v>48</v>
      </c>
      <c r="C35" s="17" t="s">
        <v>49</v>
      </c>
      <c r="D35" s="16" t="s">
        <v>50</v>
      </c>
      <c r="E35" s="16" t="s">
        <v>9</v>
      </c>
      <c r="F35" s="16" t="s">
        <v>51</v>
      </c>
      <c r="G35" s="16" t="s">
        <v>52</v>
      </c>
      <c r="H35" s="1" t="s">
        <v>53</v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27.75" customHeight="1" x14ac:dyDescent="0.2">
      <c r="A36" s="1"/>
      <c r="B36" s="38" t="s">
        <v>54</v>
      </c>
      <c r="C36" s="38" t="s">
        <v>55</v>
      </c>
      <c r="D36" s="39" t="s">
        <v>56</v>
      </c>
      <c r="E36" s="40" t="s">
        <v>57</v>
      </c>
      <c r="F36" s="22">
        <v>0</v>
      </c>
      <c r="G36" s="41">
        <f t="shared" ref="G36:G48" si="4">E36*F36</f>
        <v>0</v>
      </c>
      <c r="H36" s="42" t="s">
        <v>58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38" t="s">
        <v>59</v>
      </c>
      <c r="C37" s="38" t="s">
        <v>55</v>
      </c>
      <c r="D37" s="39" t="s">
        <v>56</v>
      </c>
      <c r="E37" s="41">
        <v>2</v>
      </c>
      <c r="F37" s="22">
        <v>3</v>
      </c>
      <c r="G37" s="41">
        <f t="shared" si="4"/>
        <v>6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.75" customHeight="1" x14ac:dyDescent="0.2">
      <c r="A38" s="1"/>
      <c r="B38" s="38" t="s">
        <v>60</v>
      </c>
      <c r="C38" s="38" t="s">
        <v>55</v>
      </c>
      <c r="D38" s="39" t="s">
        <v>56</v>
      </c>
      <c r="E38" s="41">
        <v>1</v>
      </c>
      <c r="F38" s="22">
        <v>5</v>
      </c>
      <c r="G38" s="41">
        <f t="shared" si="4"/>
        <v>5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38" t="s">
        <v>61</v>
      </c>
      <c r="C39" s="38" t="s">
        <v>55</v>
      </c>
      <c r="D39" s="39" t="s">
        <v>56</v>
      </c>
      <c r="E39" s="41">
        <v>1</v>
      </c>
      <c r="F39" s="22">
        <v>4</v>
      </c>
      <c r="G39" s="41">
        <f t="shared" si="4"/>
        <v>4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7.75" customHeight="1" x14ac:dyDescent="0.2">
      <c r="A40" s="1"/>
      <c r="B40" s="38" t="s">
        <v>62</v>
      </c>
      <c r="C40" s="38" t="s">
        <v>55</v>
      </c>
      <c r="D40" s="39" t="s">
        <v>56</v>
      </c>
      <c r="E40" s="40">
        <v>1</v>
      </c>
      <c r="F40" s="22">
        <v>2</v>
      </c>
      <c r="G40" s="41">
        <f t="shared" si="4"/>
        <v>2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7.75" customHeight="1" x14ac:dyDescent="0.2">
      <c r="A41" s="1"/>
      <c r="B41" s="38" t="s">
        <v>63</v>
      </c>
      <c r="C41" s="38" t="s">
        <v>55</v>
      </c>
      <c r="D41" s="39" t="s">
        <v>56</v>
      </c>
      <c r="E41" s="40">
        <v>0.5</v>
      </c>
      <c r="F41" s="22">
        <v>2</v>
      </c>
      <c r="G41" s="41">
        <f t="shared" si="4"/>
        <v>1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7.75" customHeight="1" x14ac:dyDescent="0.2">
      <c r="A42" s="1"/>
      <c r="B42" s="38" t="s">
        <v>64</v>
      </c>
      <c r="C42" s="38" t="s">
        <v>55</v>
      </c>
      <c r="D42" s="39" t="s">
        <v>56</v>
      </c>
      <c r="E42" s="40">
        <v>0.5</v>
      </c>
      <c r="F42" s="22">
        <v>3</v>
      </c>
      <c r="G42" s="41">
        <f t="shared" si="4"/>
        <v>1.5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7.75" customHeight="1" x14ac:dyDescent="0.2">
      <c r="A43" s="1"/>
      <c r="B43" s="38" t="s">
        <v>65</v>
      </c>
      <c r="C43" s="38" t="s">
        <v>55</v>
      </c>
      <c r="D43" s="39" t="s">
        <v>56</v>
      </c>
      <c r="E43" s="40">
        <v>2</v>
      </c>
      <c r="F43" s="22">
        <v>1</v>
      </c>
      <c r="G43" s="41">
        <f t="shared" si="4"/>
        <v>2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7.75" customHeight="1" x14ac:dyDescent="0.2">
      <c r="A44" s="1"/>
      <c r="B44" s="38" t="s">
        <v>66</v>
      </c>
      <c r="C44" s="38" t="s">
        <v>55</v>
      </c>
      <c r="D44" s="39" t="s">
        <v>56</v>
      </c>
      <c r="E44" s="40">
        <v>1</v>
      </c>
      <c r="F44" s="22">
        <v>2</v>
      </c>
      <c r="G44" s="41">
        <f t="shared" si="4"/>
        <v>2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7.75" customHeight="1" x14ac:dyDescent="0.2">
      <c r="A45" s="1"/>
      <c r="B45" s="38" t="s">
        <v>67</v>
      </c>
      <c r="C45" s="38" t="s">
        <v>55</v>
      </c>
      <c r="D45" s="39" t="s">
        <v>56</v>
      </c>
      <c r="E45" s="40">
        <v>1</v>
      </c>
      <c r="F45" s="22">
        <v>4</v>
      </c>
      <c r="G45" s="41">
        <f t="shared" si="4"/>
        <v>4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38" t="s">
        <v>68</v>
      </c>
      <c r="C46" s="38" t="s">
        <v>55</v>
      </c>
      <c r="D46" s="39" t="s">
        <v>56</v>
      </c>
      <c r="E46" s="41">
        <v>1</v>
      </c>
      <c r="F46" s="22">
        <v>3</v>
      </c>
      <c r="G46" s="41">
        <f t="shared" si="4"/>
        <v>3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38" t="s">
        <v>69</v>
      </c>
      <c r="C47" s="38" t="s">
        <v>55</v>
      </c>
      <c r="D47" s="39" t="s">
        <v>56</v>
      </c>
      <c r="E47" s="41">
        <v>1</v>
      </c>
      <c r="F47" s="22">
        <v>2</v>
      </c>
      <c r="G47" s="41">
        <f t="shared" si="4"/>
        <v>2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38" t="s">
        <v>70</v>
      </c>
      <c r="C48" s="38" t="s">
        <v>55</v>
      </c>
      <c r="D48" s="39" t="s">
        <v>56</v>
      </c>
      <c r="E48" s="40">
        <v>1</v>
      </c>
      <c r="F48" s="22">
        <v>2</v>
      </c>
      <c r="G48" s="41">
        <f t="shared" si="4"/>
        <v>2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7.75" customHeight="1" x14ac:dyDescent="0.2">
      <c r="A49" s="1"/>
      <c r="B49" s="67" t="s">
        <v>71</v>
      </c>
      <c r="C49" s="68"/>
      <c r="D49" s="68"/>
      <c r="E49" s="68"/>
      <c r="F49" s="69"/>
      <c r="G49" s="43">
        <f>SUM(G36:G48)</f>
        <v>34.5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7.75" customHeight="1" x14ac:dyDescent="0.2">
      <c r="A50" s="1"/>
      <c r="B50" s="67" t="s">
        <v>72</v>
      </c>
      <c r="C50" s="68"/>
      <c r="D50" s="68"/>
      <c r="E50" s="68"/>
      <c r="F50" s="69"/>
      <c r="G50" s="36">
        <f>0.6+(0.01*G49)</f>
        <v>0.94500000000000006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7.75" customHeight="1" x14ac:dyDescent="0.2">
      <c r="A51" s="1"/>
      <c r="B51" s="27"/>
      <c r="C51" s="3"/>
      <c r="D51" s="3"/>
      <c r="E51" s="3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7.75" customHeight="1" x14ac:dyDescent="0.2">
      <c r="A52" s="1"/>
      <c r="B52" s="44"/>
      <c r="C52" s="44"/>
      <c r="D52" s="45"/>
      <c r="E52" s="44"/>
      <c r="F52" s="44"/>
      <c r="G52" s="44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5" t="s">
        <v>73</v>
      </c>
      <c r="B53" s="17" t="s">
        <v>74</v>
      </c>
      <c r="C53" s="17" t="s">
        <v>75</v>
      </c>
      <c r="D53" s="16" t="s">
        <v>76</v>
      </c>
      <c r="E53" s="16" t="s">
        <v>9</v>
      </c>
      <c r="F53" s="16" t="s">
        <v>51</v>
      </c>
      <c r="G53" s="16" t="s">
        <v>52</v>
      </c>
      <c r="H53" s="1" t="s">
        <v>77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5.75" customHeight="1" x14ac:dyDescent="0.2">
      <c r="A54" s="1"/>
      <c r="B54" s="46" t="s">
        <v>78</v>
      </c>
      <c r="C54" s="38" t="s">
        <v>79</v>
      </c>
      <c r="D54" s="39" t="s">
        <v>56</v>
      </c>
      <c r="E54" s="40">
        <v>1.5</v>
      </c>
      <c r="F54" s="22">
        <v>3</v>
      </c>
      <c r="G54" s="41">
        <f t="shared" ref="G54:G61" si="5">E54*F54</f>
        <v>4.5</v>
      </c>
      <c r="H54" s="42" t="s">
        <v>58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46" t="s">
        <v>80</v>
      </c>
      <c r="C55" s="38" t="s">
        <v>79</v>
      </c>
      <c r="D55" s="39" t="s">
        <v>56</v>
      </c>
      <c r="E55" s="40">
        <v>0.5</v>
      </c>
      <c r="F55" s="22">
        <v>2</v>
      </c>
      <c r="G55" s="41">
        <f t="shared" si="5"/>
        <v>1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46" t="s">
        <v>81</v>
      </c>
      <c r="C56" s="38" t="s">
        <v>79</v>
      </c>
      <c r="D56" s="39" t="s">
        <v>56</v>
      </c>
      <c r="E56" s="40">
        <v>1</v>
      </c>
      <c r="F56" s="22">
        <v>4</v>
      </c>
      <c r="G56" s="41">
        <f t="shared" si="5"/>
        <v>4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46" t="s">
        <v>82</v>
      </c>
      <c r="C57" s="38" t="s">
        <v>79</v>
      </c>
      <c r="D57" s="39" t="s">
        <v>56</v>
      </c>
      <c r="E57" s="40">
        <v>0.5</v>
      </c>
      <c r="F57" s="22">
        <v>3</v>
      </c>
      <c r="G57" s="41">
        <f t="shared" si="5"/>
        <v>1.5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x14ac:dyDescent="0.2">
      <c r="A58" s="1"/>
      <c r="B58" s="46" t="s">
        <v>83</v>
      </c>
      <c r="C58" s="38" t="s">
        <v>84</v>
      </c>
      <c r="D58" s="39" t="s">
        <v>56</v>
      </c>
      <c r="E58" s="40">
        <v>1</v>
      </c>
      <c r="F58" s="22">
        <v>3</v>
      </c>
      <c r="G58" s="41">
        <f t="shared" si="5"/>
        <v>3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46" t="s">
        <v>85</v>
      </c>
      <c r="C59" s="38" t="s">
        <v>86</v>
      </c>
      <c r="D59" s="39" t="s">
        <v>56</v>
      </c>
      <c r="E59" s="40">
        <v>2</v>
      </c>
      <c r="F59" s="22">
        <v>4</v>
      </c>
      <c r="G59" s="41">
        <f t="shared" si="5"/>
        <v>8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46" t="s">
        <v>87</v>
      </c>
      <c r="C60" s="38" t="s">
        <v>88</v>
      </c>
      <c r="D60" s="39" t="s">
        <v>56</v>
      </c>
      <c r="E60" s="40">
        <v>-1</v>
      </c>
      <c r="F60" s="22">
        <v>4</v>
      </c>
      <c r="G60" s="41">
        <f t="shared" si="5"/>
        <v>-4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46" t="s">
        <v>89</v>
      </c>
      <c r="C61" s="38" t="s">
        <v>90</v>
      </c>
      <c r="D61" s="39" t="s">
        <v>56</v>
      </c>
      <c r="E61" s="40">
        <v>-1</v>
      </c>
      <c r="F61" s="22">
        <v>4</v>
      </c>
      <c r="G61" s="41">
        <f t="shared" si="5"/>
        <v>-4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7.75" customHeight="1" x14ac:dyDescent="0.2">
      <c r="A62" s="1"/>
      <c r="B62" s="67" t="s">
        <v>91</v>
      </c>
      <c r="C62" s="68"/>
      <c r="D62" s="68"/>
      <c r="E62" s="68"/>
      <c r="F62" s="69"/>
      <c r="G62" s="16">
        <f>SUM(G54:G61)</f>
        <v>14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7.75" customHeight="1" x14ac:dyDescent="0.2">
      <c r="A63" s="1"/>
      <c r="B63" s="67" t="s">
        <v>92</v>
      </c>
      <c r="C63" s="68"/>
      <c r="D63" s="68"/>
      <c r="E63" s="68"/>
      <c r="F63" s="69"/>
      <c r="G63" s="16">
        <f>1.4 + (-0.03*G62)</f>
        <v>0.98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7.75" customHeight="1" x14ac:dyDescent="0.2">
      <c r="A64" s="1"/>
      <c r="B64" s="25"/>
      <c r="C64" s="47"/>
      <c r="D64" s="48"/>
      <c r="E64" s="47"/>
      <c r="F64" s="49" t="s">
        <v>93</v>
      </c>
      <c r="G64" s="16">
        <f>COUNTIF($F$54:$F$59,"&lt;3")+COUNTIF($F$60:$F$61,"&gt;3")</f>
        <v>3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7.75" customHeight="1" x14ac:dyDescent="0.2">
      <c r="A65" s="1"/>
      <c r="B65" s="27"/>
      <c r="C65" s="3"/>
      <c r="D65" s="3"/>
      <c r="E65" s="3"/>
      <c r="F65" s="3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7.75" customHeight="1" x14ac:dyDescent="0.2">
      <c r="A66" s="1"/>
      <c r="B66" s="1"/>
      <c r="C66" s="1"/>
      <c r="D66" s="2"/>
      <c r="E66" s="3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7.75" customHeight="1" x14ac:dyDescent="0.2">
      <c r="A67" s="15" t="s">
        <v>94</v>
      </c>
      <c r="B67" s="70" t="s">
        <v>95</v>
      </c>
      <c r="C67" s="68"/>
      <c r="D67" s="68"/>
      <c r="E67" s="68"/>
      <c r="F67" s="69"/>
      <c r="G67" s="50">
        <f>F29*G50*G63</f>
        <v>61.122600000000006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7.75" customHeight="1" x14ac:dyDescent="0.2">
      <c r="A68" s="1"/>
      <c r="B68" s="1"/>
      <c r="C68" s="1"/>
      <c r="D68" s="2"/>
      <c r="E68" s="3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7.75" customHeight="1" x14ac:dyDescent="0.2">
      <c r="A69" s="1"/>
      <c r="B69" s="1"/>
      <c r="C69" s="1"/>
      <c r="D69" s="2"/>
      <c r="E69" s="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51" t="s">
        <v>96</v>
      </c>
      <c r="B70" s="17" t="s">
        <v>97</v>
      </c>
      <c r="C70" s="17" t="s">
        <v>98</v>
      </c>
      <c r="D70" s="17" t="s">
        <v>99</v>
      </c>
      <c r="E70" s="3"/>
      <c r="F70" s="1"/>
      <c r="G70" s="17" t="s">
        <v>100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7.75" customHeight="1" x14ac:dyDescent="0.2">
      <c r="A71" s="1"/>
      <c r="B71" s="52">
        <v>20</v>
      </c>
      <c r="C71" s="52">
        <f>IF($G$64&gt;=5,36,IF(AND(G$64&gt;2,$G$64&lt;=4),28, IF(AND($G$64&gt;=0,$G$64&lt;=2),20,"error")))</f>
        <v>28</v>
      </c>
      <c r="D71" s="53">
        <f>IF($G$64&gt;=5,$G$71*(36/20),IF(AND($G$64&gt;2,$G$64&lt;=4),$G$71*(28/20), IF(AND($G$64&gt;=0,$G$64&lt;=2),$G$71,"error")))</f>
        <v>5.6</v>
      </c>
      <c r="E71" s="3"/>
      <c r="F71" s="1"/>
      <c r="G71" s="54">
        <v>4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7.75" customHeight="1" x14ac:dyDescent="0.2">
      <c r="A72" s="1"/>
      <c r="B72" s="71" t="s">
        <v>101</v>
      </c>
      <c r="C72" s="68"/>
      <c r="D72" s="69"/>
      <c r="E72" s="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7.75" customHeight="1" x14ac:dyDescent="0.2">
      <c r="A73" s="55" t="s">
        <v>102</v>
      </c>
      <c r="B73" s="52">
        <f t="shared" ref="B73:D73" si="6">$G$67*B71</f>
        <v>1222.4520000000002</v>
      </c>
      <c r="C73" s="52">
        <f t="shared" si="6"/>
        <v>1711.4328</v>
      </c>
      <c r="D73" s="52">
        <f t="shared" si="6"/>
        <v>342.28656000000001</v>
      </c>
      <c r="E73" s="3"/>
      <c r="F73" s="1"/>
      <c r="G73" s="17" t="s">
        <v>103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7.75" customHeight="1" x14ac:dyDescent="0.2">
      <c r="A74" s="55" t="s">
        <v>104</v>
      </c>
      <c r="B74" s="56">
        <f t="shared" ref="B74:C74" si="7">B73/(22*8)</f>
        <v>6.9457500000000012</v>
      </c>
      <c r="C74" s="56">
        <f t="shared" si="7"/>
        <v>9.7240500000000001</v>
      </c>
      <c r="D74" s="57">
        <f>D73/(22*G74)</f>
        <v>3.8896200000000003</v>
      </c>
      <c r="E74" s="3"/>
      <c r="F74" s="1"/>
      <c r="G74" s="54">
        <v>4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7.75" customHeight="1" x14ac:dyDescent="0.2">
      <c r="A75" s="1"/>
      <c r="B75" s="1"/>
      <c r="C75" s="1"/>
      <c r="D75" s="2"/>
      <c r="E75" s="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7.75" customHeight="1" x14ac:dyDescent="0.2">
      <c r="A76" s="1"/>
      <c r="B76" s="1"/>
      <c r="C76" s="1"/>
      <c r="D76" s="1"/>
      <c r="E76" s="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7.75" customHeight="1" x14ac:dyDescent="0.2">
      <c r="A77" s="15" t="s">
        <v>105</v>
      </c>
      <c r="B77" s="58" t="s">
        <v>106</v>
      </c>
      <c r="C77" s="59"/>
      <c r="D77" s="48"/>
      <c r="E77" s="47"/>
      <c r="F77" s="60"/>
      <c r="G77" s="60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7.75" customHeight="1" x14ac:dyDescent="0.2">
      <c r="A78" s="1"/>
      <c r="B78" s="37" t="s">
        <v>107</v>
      </c>
      <c r="C78" s="16" t="s">
        <v>108</v>
      </c>
      <c r="D78" s="50" t="s">
        <v>109</v>
      </c>
      <c r="E78" s="50" t="s">
        <v>110</v>
      </c>
      <c r="F78" s="50" t="s">
        <v>111</v>
      </c>
      <c r="G78" s="50" t="s">
        <v>112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7.75" customHeight="1" x14ac:dyDescent="0.2">
      <c r="A79" s="1"/>
      <c r="B79" s="61" t="s">
        <v>113</v>
      </c>
      <c r="C79" s="62">
        <v>0.4</v>
      </c>
      <c r="D79" s="56">
        <f t="shared" ref="D79:F79" si="8">$C79/$C$79*B$74</f>
        <v>6.9457500000000012</v>
      </c>
      <c r="E79" s="56">
        <f t="shared" si="8"/>
        <v>9.7240500000000001</v>
      </c>
      <c r="F79" s="56">
        <f t="shared" si="8"/>
        <v>3.8896200000000003</v>
      </c>
      <c r="G79" s="56">
        <f>D73</f>
        <v>342.28656000000001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7.75" customHeight="1" x14ac:dyDescent="0.2">
      <c r="A80" s="1"/>
      <c r="B80" s="61" t="s">
        <v>114</v>
      </c>
      <c r="C80" s="62">
        <f>1-C79</f>
        <v>0.6</v>
      </c>
      <c r="D80" s="52">
        <f t="shared" ref="D80:F80" si="9">$C80/$C$79*B$74</f>
        <v>10.418625</v>
      </c>
      <c r="E80" s="52">
        <f t="shared" si="9"/>
        <v>14.586074999999997</v>
      </c>
      <c r="F80" s="52">
        <f t="shared" si="9"/>
        <v>5.8344299999999993</v>
      </c>
      <c r="G80" s="52">
        <f>D73*1.5</f>
        <v>513.42984000000001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7.75" customHeight="1" x14ac:dyDescent="0.2">
      <c r="A81" s="1"/>
      <c r="B81" s="63"/>
      <c r="C81" s="62">
        <f>SUM(C79:C80)</f>
        <v>1</v>
      </c>
      <c r="D81" s="56">
        <f t="shared" ref="D81:F81" si="10">$C81/$C$79*B$74</f>
        <v>17.364375000000003</v>
      </c>
      <c r="E81" s="56">
        <f t="shared" si="10"/>
        <v>24.310124999999999</v>
      </c>
      <c r="F81" s="56">
        <f t="shared" si="10"/>
        <v>9.7240500000000001</v>
      </c>
      <c r="G81" s="56">
        <f>G79+G80</f>
        <v>855.71640000000002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7.75" customHeight="1" x14ac:dyDescent="0.2">
      <c r="A82" s="1"/>
      <c r="B82" s="1"/>
      <c r="C82" s="1"/>
      <c r="D82" s="2"/>
      <c r="E82" s="3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7.75" customHeight="1" x14ac:dyDescent="0.2">
      <c r="A83" s="15" t="s">
        <v>115</v>
      </c>
      <c r="B83" s="22">
        <v>4</v>
      </c>
      <c r="C83" s="1"/>
      <c r="D83" s="2"/>
      <c r="E83" s="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7.75" customHeight="1" x14ac:dyDescent="0.2">
      <c r="A84" s="1"/>
      <c r="B84" s="1"/>
      <c r="C84" s="1"/>
      <c r="D84" s="2"/>
      <c r="E84" s="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7.75" customHeight="1" x14ac:dyDescent="0.2">
      <c r="A85" s="15" t="s">
        <v>116</v>
      </c>
      <c r="B85" s="50" t="s">
        <v>117</v>
      </c>
      <c r="C85" s="50" t="s">
        <v>118</v>
      </c>
      <c r="D85" s="50" t="s">
        <v>119</v>
      </c>
      <c r="E85" s="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7.75" customHeight="1" x14ac:dyDescent="0.2">
      <c r="A86" s="64"/>
      <c r="B86" s="65">
        <f>$D$81/$B$83</f>
        <v>4.3410937500000006</v>
      </c>
      <c r="C86" s="65">
        <f>$E$81/$B$83</f>
        <v>6.0775312499999998</v>
      </c>
      <c r="D86" s="65">
        <f>$F$81/$B$83</f>
        <v>2.4310125</v>
      </c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 spans="1:26" ht="15.75" customHeight="1" x14ac:dyDescent="0.2">
      <c r="A87" s="64"/>
      <c r="B87" s="64"/>
      <c r="C87" s="64"/>
      <c r="D87" s="64"/>
      <c r="E87" s="66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 spans="1:26" ht="15.75" customHeight="1" x14ac:dyDescent="0.2">
      <c r="A88" s="64"/>
      <c r="B88" s="64"/>
      <c r="C88" s="64"/>
      <c r="D88" s="64"/>
      <c r="E88" s="66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 spans="1:26" ht="15.75" customHeight="1" x14ac:dyDescent="0.2">
      <c r="A89" s="76" t="s">
        <v>130</v>
      </c>
      <c r="B89" s="77" t="s">
        <v>131</v>
      </c>
      <c r="C89" s="77" t="s">
        <v>131</v>
      </c>
      <c r="D89" s="78" t="s">
        <v>131</v>
      </c>
      <c r="E89" s="79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</row>
    <row r="90" spans="1:26" ht="15.75" customHeight="1" x14ac:dyDescent="0.2">
      <c r="A90" s="81">
        <v>45957</v>
      </c>
      <c r="B90" s="82">
        <f>EDATE(A90,INT(B86)) + (B86-INT(B86))*DAY(EDATE(A90,INT(B86)+1)-EDATE(A90,INT(B86)))</f>
        <v>46089.550625000003</v>
      </c>
      <c r="C90" s="82">
        <f>EDATE(A90,INT(C86)) + (C86-INT(C86))*DAY(EDATE(A90,INT(C86)+1)-EDATE(A90,INT(C86)))</f>
        <v>46141.325937499998</v>
      </c>
      <c r="D90" s="82">
        <f>EDATE(A90,INT(D86)) + (D86-INT(D86))*DAY(EDATE(A90,INT(D86)+1)-EDATE(A90,INT(D86)))</f>
        <v>46031.361387500001</v>
      </c>
      <c r="E90" s="79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</row>
    <row r="91" spans="1:26" ht="15.75" customHeight="1" x14ac:dyDescent="0.2">
      <c r="A91" s="64"/>
      <c r="B91" s="64"/>
      <c r="C91" s="64"/>
      <c r="D91" s="64"/>
      <c r="E91" s="66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 spans="1:26" ht="15.75" customHeight="1" x14ac:dyDescent="0.2">
      <c r="A92" s="64"/>
      <c r="B92" s="64"/>
      <c r="C92" s="64"/>
      <c r="D92" s="64"/>
      <c r="E92" s="66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 spans="1:26" ht="15.75" customHeight="1" x14ac:dyDescent="0.2">
      <c r="A93" s="64"/>
      <c r="B93" s="64"/>
      <c r="C93" s="64"/>
      <c r="D93" s="64"/>
      <c r="E93" s="66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 spans="1:26" ht="15.75" customHeight="1" x14ac:dyDescent="0.2">
      <c r="A94" s="64"/>
      <c r="B94" s="64"/>
      <c r="C94" s="64"/>
      <c r="D94" s="64"/>
      <c r="E94" s="66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 spans="1:26" ht="15.75" customHeight="1" x14ac:dyDescent="0.2">
      <c r="A95" s="64"/>
      <c r="B95" s="64"/>
      <c r="C95" s="64"/>
      <c r="D95" s="64"/>
      <c r="E95" s="66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 spans="1:26" ht="15.75" customHeight="1" x14ac:dyDescent="0.2">
      <c r="A96" s="64"/>
      <c r="B96" s="64"/>
      <c r="C96" s="64"/>
      <c r="D96" s="64"/>
      <c r="E96" s="66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 spans="1:26" ht="15.75" customHeight="1" x14ac:dyDescent="0.2">
      <c r="A97" s="64"/>
      <c r="B97" s="64"/>
      <c r="C97" s="64"/>
      <c r="D97" s="64"/>
      <c r="E97" s="66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 spans="1:26" ht="15.75" customHeight="1" x14ac:dyDescent="0.2">
      <c r="A98" s="64"/>
      <c r="B98" s="64"/>
      <c r="C98" s="64"/>
      <c r="D98" s="64"/>
      <c r="E98" s="66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</row>
    <row r="99" spans="1:26" ht="15.75" customHeight="1" x14ac:dyDescent="0.2">
      <c r="A99" s="64"/>
      <c r="B99" s="64"/>
      <c r="C99" s="64"/>
      <c r="D99" s="64"/>
      <c r="E99" s="66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</row>
    <row r="100" spans="1:26" ht="15.75" customHeight="1" x14ac:dyDescent="0.2">
      <c r="A100" s="64"/>
      <c r="B100" s="64"/>
      <c r="C100" s="64"/>
      <c r="D100" s="64"/>
      <c r="E100" s="66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</row>
    <row r="101" spans="1:26" ht="15.75" customHeight="1" x14ac:dyDescent="0.2">
      <c r="A101" s="64"/>
      <c r="B101" s="64"/>
      <c r="C101" s="64"/>
      <c r="D101" s="64"/>
      <c r="E101" s="66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</row>
    <row r="102" spans="1:26" ht="15.75" customHeight="1" x14ac:dyDescent="0.2">
      <c r="A102" s="64"/>
      <c r="B102" s="64"/>
      <c r="C102" s="64"/>
      <c r="D102" s="64"/>
      <c r="E102" s="66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</row>
    <row r="103" spans="1:26" ht="15.75" customHeight="1" x14ac:dyDescent="0.2">
      <c r="A103" s="1"/>
      <c r="B103" s="1"/>
      <c r="C103" s="1"/>
      <c r="D103" s="2"/>
      <c r="E103" s="3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2"/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2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2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2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2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2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2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2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2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2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2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2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2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2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2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2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2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2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2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2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2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2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2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2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2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2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2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2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2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2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2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2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2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2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2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2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2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2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2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2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2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2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2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2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2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2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2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2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2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2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2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2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2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2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2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2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2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2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2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2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2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2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2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2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2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2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2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2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2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2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2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2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2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2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2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2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2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2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2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2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2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2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2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2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2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2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2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2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2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2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2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2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2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2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2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2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2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2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2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2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2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2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2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2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2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2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2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2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2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2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2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2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2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2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2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2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2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2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2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2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2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2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2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2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2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2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2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2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2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2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2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2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2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2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2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2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2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2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2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2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2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2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2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2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2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2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2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2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2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2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2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2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2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2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2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2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2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2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2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2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2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2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2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2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2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2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2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2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2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2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2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2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2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2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2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2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2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2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2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2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2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2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2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2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2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2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2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2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2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2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2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2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2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2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2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2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2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2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2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2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2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2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2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2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2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2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2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2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2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2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2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2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2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2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2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2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2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2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2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2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2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2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2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2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2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2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2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2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2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2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2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2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2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2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2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2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2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2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2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2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2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2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2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2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2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2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2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2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2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2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2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2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2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2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2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2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2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2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2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2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2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2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2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2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2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2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2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2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2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2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2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2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2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2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2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2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2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2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2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2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2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2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2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2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2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2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2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2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2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2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2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2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2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2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2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2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2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2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2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2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2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2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2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2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2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2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2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2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2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2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2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2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2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2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2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2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2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2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2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2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2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2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2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2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2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2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2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2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2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2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2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2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2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2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2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2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2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2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2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2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2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2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2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2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2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2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2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2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2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2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2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2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2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2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2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2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2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2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2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2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2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2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2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2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2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2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2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2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2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2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2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2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2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2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2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2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2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2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2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2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2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2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2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2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2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2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2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2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2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2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2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2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2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2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2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2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2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2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2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2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2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2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2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2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2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2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2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2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2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2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2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2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2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2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2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2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2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2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2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2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2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2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2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2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2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2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2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2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2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2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2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2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2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2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2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2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2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2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2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2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2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2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2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2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2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2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2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2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2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2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2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2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2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2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2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2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2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2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2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2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2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2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2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2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2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2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2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2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2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2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2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2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2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2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2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2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2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2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2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2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2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2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2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2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2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2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2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2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2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2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2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2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2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2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2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2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2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2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2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2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2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2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2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2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2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2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2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2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2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2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2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2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2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2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2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2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2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2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2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2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2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2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2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2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2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2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2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2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2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2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2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2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2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2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2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2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2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2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2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2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2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2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2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2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2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2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2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2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2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2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2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2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2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2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2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2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2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2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2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2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2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2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2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2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2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2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2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2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2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2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2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2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2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2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2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2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2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2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2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2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2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2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2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2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2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2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2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2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2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2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2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2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2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2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2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2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2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2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2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2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2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2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2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2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2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2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2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2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2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2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2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2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2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2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2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2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2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2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2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2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2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2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2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2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2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2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2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2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2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2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2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2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2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2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2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2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2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2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2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2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2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2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2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2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2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2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2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2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2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2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2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2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2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2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2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2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2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2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2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2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2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2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2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2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2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2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2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2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2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2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2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2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2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2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2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2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2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2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2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2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2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2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2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2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2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2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2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2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2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2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2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2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2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2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2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2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2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2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2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2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2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2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2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2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2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2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2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2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2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2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2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2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2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2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2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2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2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2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2"/>
      <c r="E951" s="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2"/>
      <c r="E952" s="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2"/>
      <c r="E953" s="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2"/>
      <c r="E954" s="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2"/>
      <c r="E955" s="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2"/>
      <c r="E956" s="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2"/>
      <c r="E957" s="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2"/>
      <c r="E958" s="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2"/>
      <c r="E959" s="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2"/>
      <c r="E960" s="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2"/>
      <c r="E961" s="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2"/>
      <c r="E962" s="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2"/>
      <c r="E963" s="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2"/>
      <c r="E964" s="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2"/>
      <c r="E965" s="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2"/>
      <c r="E966" s="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2"/>
      <c r="E967" s="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2"/>
      <c r="E968" s="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2"/>
      <c r="E969" s="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2"/>
      <c r="E970" s="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2"/>
      <c r="E971" s="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2"/>
      <c r="E972" s="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2"/>
      <c r="E973" s="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2"/>
      <c r="E974" s="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2"/>
      <c r="E975" s="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2"/>
      <c r="E976" s="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2"/>
      <c r="E977" s="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2"/>
      <c r="E978" s="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2"/>
      <c r="E979" s="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2"/>
      <c r="E980" s="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2"/>
      <c r="E981" s="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2"/>
      <c r="E982" s="3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2"/>
      <c r="E983" s="3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2"/>
      <c r="E984" s="3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2"/>
      <c r="E985" s="3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2"/>
      <c r="E986" s="3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2"/>
      <c r="E987" s="3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2"/>
      <c r="E988" s="3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2"/>
      <c r="E989" s="3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2"/>
      <c r="E990" s="3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2"/>
      <c r="E991" s="3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2"/>
      <c r="E992" s="3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2"/>
      <c r="E993" s="3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2"/>
      <c r="E994" s="3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2"/>
      <c r="E995" s="3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2"/>
      <c r="E996" s="3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2"/>
      <c r="E997" s="3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2"/>
      <c r="E998" s="3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2"/>
      <c r="E999" s="3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2"/>
      <c r="E1000" s="3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2">
      <c r="A1001" s="1"/>
      <c r="B1001" s="1"/>
      <c r="C1001" s="1"/>
      <c r="D1001" s="2"/>
      <c r="E1001" s="3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2">
      <c r="A1002" s="1"/>
      <c r="B1002" s="1"/>
      <c r="C1002" s="1"/>
      <c r="D1002" s="2"/>
      <c r="E1002" s="3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2">
      <c r="A1003" s="1"/>
      <c r="B1003" s="1"/>
      <c r="C1003" s="1"/>
      <c r="D1003" s="2"/>
      <c r="E1003" s="3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 x14ac:dyDescent="0.2">
      <c r="A1004" s="1"/>
      <c r="B1004" s="1"/>
      <c r="C1004" s="1"/>
      <c r="D1004" s="2"/>
      <c r="E1004" s="3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 x14ac:dyDescent="0.2">
      <c r="A1005" s="1"/>
      <c r="B1005" s="1"/>
      <c r="C1005" s="1"/>
      <c r="D1005" s="2"/>
      <c r="E1005" s="3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 x14ac:dyDescent="0.2">
      <c r="A1006" s="1"/>
      <c r="B1006" s="1"/>
      <c r="C1006" s="1"/>
      <c r="D1006" s="2"/>
      <c r="E1006" s="3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 x14ac:dyDescent="0.2">
      <c r="A1007" s="1"/>
      <c r="B1007" s="1"/>
      <c r="C1007" s="1"/>
      <c r="D1007" s="2"/>
      <c r="E1007" s="3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</sheetData>
  <mergeCells count="10">
    <mergeCell ref="B63:F63"/>
    <mergeCell ref="B67:F67"/>
    <mergeCell ref="B72:D72"/>
    <mergeCell ref="B2:G2"/>
    <mergeCell ref="C13:F13"/>
    <mergeCell ref="C25:E25"/>
    <mergeCell ref="C29:E29"/>
    <mergeCell ref="B49:F49"/>
    <mergeCell ref="B50:F50"/>
    <mergeCell ref="B62:F62"/>
  </mergeCells>
  <dataValidations disablePrompts="1" count="2">
    <dataValidation type="list" allowBlank="1" showErrorMessage="1" sqref="C8:C12" xr:uid="{00000000-0002-0000-0000-000000000000}">
      <formula1>"Simple,Intermedio,Complejo"</formula1>
    </dataValidation>
    <dataValidation type="decimal" allowBlank="1" showInputMessage="1" showErrorMessage="1" prompt="Entre 1 y 9 personas." sqref="B83" xr:uid="{00000000-0002-0000-0000-000001000000}">
      <formula1>1</formula1>
      <formula2>9</formula2>
    </dataValidation>
  </dataValidations>
  <hyperlinks>
    <hyperlink ref="H36" r:id="rId1" location="v=onepage&amp;q=e7%20part-time%20members&amp;f=false" xr:uid="{00000000-0004-0000-0000-000000000000}"/>
    <hyperlink ref="H54" r:id="rId2" location="v=onepage&amp;q=e7%20part-time%20members&amp;f=false" xr:uid="{00000000-0004-0000-0000-000001000000}"/>
  </hyperlinks>
  <pageMargins left="0.75" right="0.75" top="1" bottom="1" header="0" footer="0"/>
  <pageSetup orientation="portrait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7"/>
  <sheetViews>
    <sheetView topLeftCell="A82" zoomScale="70" zoomScaleNormal="70" workbookViewId="0">
      <selection activeCell="B98" sqref="B98"/>
    </sheetView>
  </sheetViews>
  <sheetFormatPr baseColWidth="10" defaultColWidth="12.7109375" defaultRowHeight="15" customHeight="1" x14ac:dyDescent="0.2"/>
  <cols>
    <col min="1" max="1" width="27.7109375" customWidth="1"/>
    <col min="2" max="2" width="51.140625" customWidth="1"/>
    <col min="3" max="3" width="42.7109375" customWidth="1"/>
    <col min="4" max="4" width="38.7109375" customWidth="1"/>
    <col min="5" max="5" width="13.7109375" customWidth="1"/>
    <col min="6" max="6" width="16.140625" customWidth="1"/>
    <col min="7" max="7" width="16.7109375" customWidth="1"/>
    <col min="8" max="8" width="34.28515625" customWidth="1"/>
    <col min="9" max="9" width="10.7109375" customWidth="1"/>
    <col min="10" max="10" width="13.7109375" customWidth="1"/>
    <col min="11" max="26" width="9.140625" customWidth="1"/>
  </cols>
  <sheetData>
    <row r="1" spans="1:26" ht="27.75" customHeight="1" x14ac:dyDescent="0.2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.75" customHeight="1" x14ac:dyDescent="0.2">
      <c r="A2" s="4"/>
      <c r="B2" s="72" t="s">
        <v>0</v>
      </c>
      <c r="C2" s="68"/>
      <c r="D2" s="68"/>
      <c r="E2" s="68"/>
      <c r="F2" s="68"/>
      <c r="G2" s="69"/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7.75" customHeight="1" x14ac:dyDescent="0.2">
      <c r="A3" s="4"/>
      <c r="B3" s="6" t="s">
        <v>1</v>
      </c>
      <c r="C3" s="4" t="s">
        <v>2</v>
      </c>
      <c r="D3" s="7"/>
      <c r="E3" s="7"/>
      <c r="F3" s="7"/>
      <c r="G3" s="8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7.75" customHeight="1" x14ac:dyDescent="0.2">
      <c r="A4" s="4"/>
      <c r="B4" s="9" t="s">
        <v>3</v>
      </c>
      <c r="C4" s="10" t="s">
        <v>4</v>
      </c>
      <c r="D4" s="11"/>
      <c r="E4" s="11"/>
      <c r="F4" s="11"/>
      <c r="G4" s="12"/>
      <c r="H4" s="7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7.75" customHeight="1" x14ac:dyDescent="0.2">
      <c r="A5" s="1"/>
      <c r="B5" s="13"/>
      <c r="C5" s="1"/>
      <c r="D5" s="14"/>
      <c r="E5" s="14"/>
      <c r="F5" s="14"/>
      <c r="G5" s="14"/>
      <c r="H5" s="1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.75" customHeight="1" x14ac:dyDescent="0.2">
      <c r="A6" s="1"/>
      <c r="B6" s="1"/>
      <c r="C6" s="1"/>
      <c r="D6" s="2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5" t="s">
        <v>5</v>
      </c>
      <c r="B7" s="16" t="s">
        <v>6</v>
      </c>
      <c r="C7" s="17" t="s">
        <v>7</v>
      </c>
      <c r="D7" s="17" t="s">
        <v>8</v>
      </c>
      <c r="E7" s="16" t="s">
        <v>9</v>
      </c>
      <c r="F7" s="16" t="s">
        <v>10</v>
      </c>
      <c r="G7" s="16" t="s">
        <v>11</v>
      </c>
      <c r="H7" s="14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27.75" customHeight="1" x14ac:dyDescent="0.2">
      <c r="A8" s="1"/>
      <c r="B8" s="18" t="s">
        <v>12</v>
      </c>
      <c r="C8" s="19" t="s">
        <v>13</v>
      </c>
      <c r="D8" s="20" t="s">
        <v>14</v>
      </c>
      <c r="E8" s="21">
        <f t="shared" ref="E8:E12" si="0">IF(C8="Simple",1,IF(C8="Intermedio",2,IF(C8="Complejo",3,"error")))</f>
        <v>3</v>
      </c>
      <c r="F8" s="22">
        <v>1</v>
      </c>
      <c r="G8" s="21">
        <f t="shared" ref="G8:G12" si="1">E8*F8</f>
        <v>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5" customHeight="1" x14ac:dyDescent="0.2">
      <c r="A9" s="1"/>
      <c r="B9" s="18" t="s">
        <v>15</v>
      </c>
      <c r="C9" s="19" t="s">
        <v>13</v>
      </c>
      <c r="D9" s="23" t="s">
        <v>16</v>
      </c>
      <c r="E9" s="21">
        <f t="shared" si="0"/>
        <v>3</v>
      </c>
      <c r="F9" s="22">
        <v>3</v>
      </c>
      <c r="G9" s="21">
        <f t="shared" si="1"/>
        <v>9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.75" customHeight="1" x14ac:dyDescent="0.2">
      <c r="A10" s="1"/>
      <c r="B10" s="18" t="s">
        <v>17</v>
      </c>
      <c r="C10" s="19" t="s">
        <v>18</v>
      </c>
      <c r="D10" s="23" t="s">
        <v>19</v>
      </c>
      <c r="E10" s="21">
        <f t="shared" si="0"/>
        <v>2</v>
      </c>
      <c r="F10" s="22">
        <v>1</v>
      </c>
      <c r="G10" s="21">
        <f t="shared" si="1"/>
        <v>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.75" customHeight="1" x14ac:dyDescent="0.2">
      <c r="A11" s="1"/>
      <c r="B11" s="18" t="s">
        <v>20</v>
      </c>
      <c r="C11" s="19" t="s">
        <v>21</v>
      </c>
      <c r="D11" s="23" t="s">
        <v>22</v>
      </c>
      <c r="E11" s="21">
        <f t="shared" si="0"/>
        <v>1</v>
      </c>
      <c r="F11" s="22">
        <v>1</v>
      </c>
      <c r="G11" s="21">
        <f t="shared" si="1"/>
        <v>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.75" customHeight="1" x14ac:dyDescent="0.2">
      <c r="A12" s="1"/>
      <c r="B12" s="18" t="s">
        <v>23</v>
      </c>
      <c r="C12" s="19" t="s">
        <v>21</v>
      </c>
      <c r="D12" s="23" t="s">
        <v>24</v>
      </c>
      <c r="E12" s="21">
        <f t="shared" si="0"/>
        <v>1</v>
      </c>
      <c r="F12" s="22">
        <v>1</v>
      </c>
      <c r="G12" s="21">
        <f t="shared" si="1"/>
        <v>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.75" customHeight="1" x14ac:dyDescent="0.2">
      <c r="A13" s="1"/>
      <c r="B13" s="24"/>
      <c r="C13" s="67" t="s">
        <v>25</v>
      </c>
      <c r="D13" s="68"/>
      <c r="E13" s="68"/>
      <c r="F13" s="69"/>
      <c r="G13" s="26">
        <f>SUM(G8:G12)</f>
        <v>16</v>
      </c>
      <c r="H13" s="1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7.75" customHeight="1" x14ac:dyDescent="0.2">
      <c r="A14" s="1"/>
      <c r="B14" s="15"/>
      <c r="C14" s="27" t="s">
        <v>26</v>
      </c>
      <c r="D14" s="3"/>
      <c r="E14" s="3"/>
      <c r="F14" s="3"/>
      <c r="G14" s="28"/>
      <c r="H14" s="1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.75" customHeight="1" x14ac:dyDescent="0.2">
      <c r="A15" s="1"/>
      <c r="B15" s="15"/>
      <c r="C15" s="29"/>
      <c r="D15" s="29"/>
      <c r="E15" s="30"/>
      <c r="F15" s="15"/>
      <c r="G15" s="15"/>
      <c r="H15" s="15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7.75" customHeight="1" x14ac:dyDescent="0.2">
      <c r="A16" s="15" t="s">
        <v>27</v>
      </c>
      <c r="B16" s="16" t="s">
        <v>28</v>
      </c>
      <c r="C16" s="16" t="s">
        <v>29</v>
      </c>
      <c r="D16" s="17" t="s">
        <v>30</v>
      </c>
      <c r="E16" s="17" t="s">
        <v>31</v>
      </c>
      <c r="F16" s="16" t="s">
        <v>9</v>
      </c>
      <c r="G16" s="14"/>
      <c r="H16" s="1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31"/>
      <c r="U16" s="1"/>
      <c r="V16" s="1"/>
      <c r="W16" s="1"/>
      <c r="X16" s="1"/>
      <c r="Y16" s="1"/>
      <c r="Z16" s="1"/>
    </row>
    <row r="17" spans="1:26" ht="27.75" customHeight="1" x14ac:dyDescent="0.2">
      <c r="A17" s="1"/>
      <c r="B17" s="32" t="s">
        <v>33</v>
      </c>
      <c r="C17" s="33" t="s">
        <v>32</v>
      </c>
      <c r="D17" s="33">
        <v>3</v>
      </c>
      <c r="E17" s="34" t="str">
        <f t="shared" ref="E17:E24" si="2">IF($D17&gt;0,IF($D17&lt;=3,"Simple",IF(AND($D17&gt;3,$D17&lt;7),"Intermedio",IF($D17&gt;=7,"Complejo","error"))),"-")</f>
        <v>Simple</v>
      </c>
      <c r="F17" s="21">
        <f t="shared" ref="F17:F24" si="3">IF($D17&gt;0,IF($D17&lt;=3,5,IF(AND($D17&gt;3,$D17&lt;7),10,IF($D17&gt;=7,15,"error"))),0)</f>
        <v>5</v>
      </c>
      <c r="G17" s="1"/>
      <c r="H17" s="1"/>
      <c r="I17" s="1"/>
      <c r="J17" s="1"/>
      <c r="K17" s="31"/>
      <c r="L17" s="1"/>
      <c r="M17" s="1"/>
      <c r="N17" s="1"/>
      <c r="O17" s="1"/>
      <c r="P17" s="1"/>
      <c r="Q17" s="1"/>
      <c r="R17" s="1"/>
      <c r="S17" s="1"/>
      <c r="T17" s="31"/>
      <c r="U17" s="1"/>
      <c r="V17" s="1"/>
      <c r="W17" s="1"/>
      <c r="X17" s="1"/>
      <c r="Y17" s="1"/>
      <c r="Z17" s="1"/>
    </row>
    <row r="18" spans="1:26" ht="27.75" customHeight="1" x14ac:dyDescent="0.2">
      <c r="A18" s="1"/>
      <c r="B18" s="32" t="s">
        <v>34</v>
      </c>
      <c r="C18" s="33" t="s">
        <v>35</v>
      </c>
      <c r="D18" s="33">
        <v>3</v>
      </c>
      <c r="E18" s="34" t="str">
        <f t="shared" si="2"/>
        <v>Simple</v>
      </c>
      <c r="F18" s="21">
        <f t="shared" si="3"/>
        <v>5</v>
      </c>
      <c r="G18" s="1"/>
      <c r="H18" s="1"/>
      <c r="I18" s="1"/>
      <c r="J18" s="1"/>
      <c r="K18" s="31"/>
      <c r="L18" s="1"/>
      <c r="M18" s="1"/>
      <c r="N18" s="1"/>
      <c r="O18" s="1"/>
      <c r="P18" s="1"/>
      <c r="Q18" s="1"/>
      <c r="R18" s="1"/>
      <c r="S18" s="1"/>
      <c r="T18" s="31"/>
      <c r="U18" s="1"/>
      <c r="V18" s="1"/>
      <c r="W18" s="1"/>
      <c r="X18" s="1"/>
      <c r="Y18" s="1"/>
      <c r="Z18" s="1"/>
    </row>
    <row r="19" spans="1:26" ht="27.75" customHeight="1" x14ac:dyDescent="0.2">
      <c r="A19" s="1"/>
      <c r="B19" s="32" t="s">
        <v>36</v>
      </c>
      <c r="C19" s="33" t="s">
        <v>35</v>
      </c>
      <c r="D19" s="33">
        <v>3</v>
      </c>
      <c r="E19" s="34" t="str">
        <f t="shared" si="2"/>
        <v>Simple</v>
      </c>
      <c r="F19" s="21">
        <f t="shared" si="3"/>
        <v>5</v>
      </c>
      <c r="G19" s="1"/>
      <c r="H19" s="1"/>
      <c r="I19" s="1"/>
      <c r="J19" s="1"/>
      <c r="K19" s="31"/>
      <c r="L19" s="1"/>
      <c r="M19" s="1"/>
      <c r="N19" s="1"/>
      <c r="O19" s="1"/>
      <c r="P19" s="1"/>
      <c r="Q19" s="1"/>
      <c r="R19" s="1"/>
      <c r="S19" s="1"/>
      <c r="T19" s="31"/>
      <c r="U19" s="1"/>
      <c r="V19" s="1"/>
      <c r="W19" s="1"/>
      <c r="X19" s="1"/>
      <c r="Y19" s="1"/>
      <c r="Z19" s="1"/>
    </row>
    <row r="20" spans="1:26" ht="27.75" customHeight="1" x14ac:dyDescent="0.2">
      <c r="A20" s="1"/>
      <c r="B20" s="32" t="s">
        <v>37</v>
      </c>
      <c r="C20" s="33" t="s">
        <v>35</v>
      </c>
      <c r="D20" s="33">
        <v>3</v>
      </c>
      <c r="E20" s="34" t="str">
        <f t="shared" si="2"/>
        <v>Simple</v>
      </c>
      <c r="F20" s="21">
        <f t="shared" si="3"/>
        <v>5</v>
      </c>
      <c r="G20" s="1"/>
      <c r="H20" s="1"/>
      <c r="I20" s="1"/>
      <c r="J20" s="1"/>
      <c r="K20" s="31"/>
      <c r="L20" s="1"/>
      <c r="M20" s="1"/>
      <c r="N20" s="1"/>
      <c r="O20" s="1"/>
      <c r="P20" s="1"/>
      <c r="Q20" s="1"/>
      <c r="R20" s="1"/>
      <c r="S20" s="1"/>
      <c r="T20" s="31"/>
      <c r="U20" s="1"/>
      <c r="V20" s="1"/>
      <c r="W20" s="1"/>
      <c r="X20" s="1"/>
      <c r="Y20" s="1"/>
      <c r="Z20" s="1"/>
    </row>
    <row r="21" spans="1:26" ht="27.75" customHeight="1" x14ac:dyDescent="0.2">
      <c r="A21" s="1"/>
      <c r="B21" s="32" t="s">
        <v>38</v>
      </c>
      <c r="C21" s="33" t="s">
        <v>35</v>
      </c>
      <c r="D21" s="33">
        <v>3</v>
      </c>
      <c r="E21" s="34" t="str">
        <f t="shared" si="2"/>
        <v>Simple</v>
      </c>
      <c r="F21" s="21">
        <f t="shared" si="3"/>
        <v>5</v>
      </c>
      <c r="G21" s="1"/>
      <c r="H21" s="1"/>
      <c r="I21" s="1"/>
      <c r="J21" s="1"/>
      <c r="K21" s="31"/>
      <c r="L21" s="1"/>
      <c r="M21" s="1"/>
      <c r="N21" s="1"/>
      <c r="O21" s="1"/>
      <c r="P21" s="1"/>
      <c r="Q21" s="1"/>
      <c r="R21" s="1"/>
      <c r="S21" s="1"/>
      <c r="T21" s="31"/>
      <c r="U21" s="1"/>
      <c r="V21" s="1"/>
      <c r="W21" s="1"/>
      <c r="X21" s="1"/>
      <c r="Y21" s="1"/>
      <c r="Z21" s="1"/>
    </row>
    <row r="22" spans="1:26" ht="27.75" customHeight="1" x14ac:dyDescent="0.2">
      <c r="A22" s="1"/>
      <c r="B22" s="32" t="s">
        <v>39</v>
      </c>
      <c r="C22" s="33" t="s">
        <v>40</v>
      </c>
      <c r="D22" s="33">
        <v>4</v>
      </c>
      <c r="E22" s="34" t="str">
        <f t="shared" si="2"/>
        <v>Intermedio</v>
      </c>
      <c r="F22" s="21">
        <f t="shared" si="3"/>
        <v>10</v>
      </c>
      <c r="G22" s="1"/>
      <c r="H22" s="1"/>
      <c r="I22" s="1"/>
      <c r="J22" s="1"/>
      <c r="K22" s="31"/>
      <c r="L22" s="1"/>
      <c r="M22" s="1"/>
      <c r="N22" s="1"/>
      <c r="O22" s="1"/>
      <c r="P22" s="1"/>
      <c r="Q22" s="1"/>
      <c r="R22" s="1"/>
      <c r="S22" s="1"/>
      <c r="T22" s="31"/>
      <c r="U22" s="1"/>
      <c r="V22" s="1"/>
      <c r="W22" s="1"/>
      <c r="X22" s="1"/>
      <c r="Y22" s="1"/>
      <c r="Z22" s="1"/>
    </row>
    <row r="23" spans="1:26" ht="27.75" customHeight="1" x14ac:dyDescent="0.2">
      <c r="A23" s="1"/>
      <c r="B23" s="32" t="s">
        <v>41</v>
      </c>
      <c r="C23" s="33" t="s">
        <v>42</v>
      </c>
      <c r="D23" s="33">
        <v>4</v>
      </c>
      <c r="E23" s="34" t="str">
        <f t="shared" si="2"/>
        <v>Intermedio</v>
      </c>
      <c r="F23" s="21">
        <f t="shared" si="3"/>
        <v>10</v>
      </c>
      <c r="G23" s="1"/>
      <c r="H23" s="1"/>
      <c r="I23" s="1"/>
      <c r="J23" s="1"/>
      <c r="K23" s="31"/>
      <c r="L23" s="1"/>
      <c r="M23" s="1"/>
      <c r="N23" s="1"/>
      <c r="O23" s="1"/>
      <c r="P23" s="1"/>
      <c r="Q23" s="1"/>
      <c r="R23" s="1"/>
      <c r="S23" s="1"/>
      <c r="T23" s="31"/>
      <c r="U23" s="1"/>
      <c r="V23" s="1"/>
      <c r="W23" s="1"/>
      <c r="X23" s="1"/>
      <c r="Y23" s="1"/>
      <c r="Z23" s="1"/>
    </row>
    <row r="24" spans="1:26" ht="27.75" customHeight="1" x14ac:dyDescent="0.2">
      <c r="A24" s="1"/>
      <c r="B24" s="32" t="s">
        <v>43</v>
      </c>
      <c r="C24" s="33" t="s">
        <v>35</v>
      </c>
      <c r="D24" s="33">
        <v>3</v>
      </c>
      <c r="E24" s="34" t="str">
        <f t="shared" si="2"/>
        <v>Simple</v>
      </c>
      <c r="F24" s="21">
        <f t="shared" si="3"/>
        <v>5</v>
      </c>
      <c r="G24" s="1"/>
      <c r="H24" s="1"/>
      <c r="I24" s="1"/>
      <c r="J24" s="1"/>
      <c r="K24" s="31"/>
      <c r="L24" s="1"/>
      <c r="M24" s="1"/>
      <c r="N24" s="1"/>
      <c r="O24" s="1"/>
      <c r="P24" s="1"/>
      <c r="Q24" s="1"/>
      <c r="R24" s="1"/>
      <c r="S24" s="1"/>
      <c r="T24" s="31"/>
      <c r="U24" s="1"/>
      <c r="V24" s="1"/>
      <c r="W24" s="1"/>
      <c r="X24" s="1"/>
      <c r="Y24" s="1"/>
      <c r="Z24" s="1"/>
    </row>
    <row r="25" spans="1:26" ht="27.75" customHeight="1" x14ac:dyDescent="0.2">
      <c r="A25" s="1"/>
      <c r="B25" s="35"/>
      <c r="C25" s="73" t="s">
        <v>44</v>
      </c>
      <c r="D25" s="74"/>
      <c r="E25" s="75"/>
      <c r="F25" s="36">
        <f>SUM(F17:F24)</f>
        <v>50</v>
      </c>
      <c r="G25" s="1"/>
      <c r="H25" s="1"/>
      <c r="I25" s="1"/>
      <c r="J25" s="1"/>
      <c r="K25" s="31"/>
      <c r="L25" s="1"/>
      <c r="M25" s="1"/>
      <c r="N25" s="1"/>
      <c r="O25" s="1"/>
      <c r="P25" s="1"/>
      <c r="Q25" s="1"/>
      <c r="R25" s="1"/>
      <c r="S25" s="1"/>
      <c r="T25" s="31"/>
      <c r="U25" s="1"/>
      <c r="V25" s="1"/>
      <c r="W25" s="1"/>
      <c r="X25" s="1"/>
      <c r="Y25" s="1"/>
      <c r="Z25" s="1"/>
    </row>
    <row r="26" spans="1:26" ht="27.75" customHeight="1" x14ac:dyDescent="0.2">
      <c r="A26" s="1"/>
      <c r="G26" s="1"/>
      <c r="H26" s="1"/>
      <c r="I26" s="1"/>
      <c r="J26" s="1"/>
      <c r="K26" s="31"/>
      <c r="L26" s="1"/>
      <c r="M26" s="1"/>
      <c r="N26" s="1"/>
      <c r="O26" s="1"/>
      <c r="P26" s="1"/>
      <c r="Q26" s="1"/>
      <c r="R26" s="1"/>
      <c r="S26" s="1"/>
      <c r="T26" s="31"/>
      <c r="U26" s="1"/>
      <c r="V26" s="1"/>
      <c r="W26" s="1"/>
      <c r="X26" s="1"/>
      <c r="Y26" s="1"/>
      <c r="Z26" s="1"/>
    </row>
    <row r="27" spans="1:26" ht="27.75" customHeight="1" x14ac:dyDescent="0.2">
      <c r="A27" s="1"/>
      <c r="G27" s="1"/>
      <c r="H27" s="1"/>
      <c r="I27" s="1"/>
      <c r="J27" s="1"/>
      <c r="K27" s="31"/>
      <c r="L27" s="1"/>
      <c r="M27" s="1"/>
      <c r="N27" s="1"/>
      <c r="O27" s="1"/>
      <c r="P27" s="1"/>
      <c r="Q27" s="1"/>
      <c r="R27" s="1"/>
      <c r="S27" s="1"/>
      <c r="T27" s="31"/>
      <c r="U27" s="1"/>
      <c r="V27" s="1"/>
      <c r="W27" s="1"/>
      <c r="X27" s="1"/>
      <c r="Y27" s="1"/>
      <c r="Z27" s="1"/>
    </row>
    <row r="28" spans="1:26" ht="27.75" customHeight="1" x14ac:dyDescent="0.2">
      <c r="A28" s="1"/>
      <c r="G28" s="1"/>
      <c r="H28" s="1"/>
      <c r="I28" s="1"/>
      <c r="J28" s="1"/>
      <c r="K28" s="31"/>
      <c r="L28" s="1"/>
      <c r="M28" s="1"/>
      <c r="N28" s="1"/>
      <c r="O28" s="1"/>
      <c r="P28" s="1"/>
      <c r="Q28" s="1"/>
      <c r="R28" s="1"/>
      <c r="S28" s="1"/>
      <c r="T28" s="31"/>
      <c r="U28" s="1"/>
      <c r="V28" s="1"/>
      <c r="W28" s="1"/>
      <c r="X28" s="1"/>
      <c r="Y28" s="1"/>
      <c r="Z28" s="1"/>
    </row>
    <row r="29" spans="1:26" ht="27.75" customHeight="1" x14ac:dyDescent="0.2">
      <c r="A29" s="15" t="s">
        <v>45</v>
      </c>
      <c r="B29" s="37"/>
      <c r="C29" s="67" t="s">
        <v>120</v>
      </c>
      <c r="D29" s="68"/>
      <c r="E29" s="69"/>
      <c r="F29" s="26">
        <f>G13+F25</f>
        <v>66</v>
      </c>
      <c r="G29" s="1"/>
      <c r="H29" s="15"/>
      <c r="I29" s="1"/>
      <c r="J29" s="1"/>
      <c r="K29" s="3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7.75" customHeight="1" x14ac:dyDescent="0.2">
      <c r="A30" s="1"/>
      <c r="B30" s="1"/>
      <c r="C30" s="1"/>
      <c r="D30" s="2"/>
      <c r="E30" s="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7.75" customHeight="1" x14ac:dyDescent="0.2">
      <c r="A31" s="1"/>
      <c r="B31" s="1"/>
      <c r="C31" s="1"/>
      <c r="D31" s="2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7.75" customHeight="1" x14ac:dyDescent="0.2">
      <c r="G32" s="1"/>
      <c r="H32" s="15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7.75" customHeight="1" x14ac:dyDescent="0.2">
      <c r="A33" s="1"/>
      <c r="B33" s="1"/>
      <c r="C33" s="1"/>
      <c r="D33" s="2"/>
      <c r="E33" s="3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7.75" customHeight="1" x14ac:dyDescent="0.2">
      <c r="A34" s="1"/>
      <c r="B34" s="3"/>
      <c r="C34" s="1"/>
      <c r="D34" s="2"/>
      <c r="E34" s="3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7.75" customHeight="1" x14ac:dyDescent="0.2">
      <c r="A35" s="15" t="s">
        <v>47</v>
      </c>
      <c r="B35" s="17" t="s">
        <v>48</v>
      </c>
      <c r="C35" s="17" t="s">
        <v>49</v>
      </c>
      <c r="D35" s="16" t="s">
        <v>50</v>
      </c>
      <c r="E35" s="16" t="s">
        <v>9</v>
      </c>
      <c r="F35" s="16" t="s">
        <v>51</v>
      </c>
      <c r="G35" s="16" t="s">
        <v>52</v>
      </c>
      <c r="H35" s="1" t="s">
        <v>53</v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27.75" customHeight="1" x14ac:dyDescent="0.2">
      <c r="A36" s="1"/>
      <c r="B36" s="38" t="s">
        <v>54</v>
      </c>
      <c r="C36" s="38" t="s">
        <v>55</v>
      </c>
      <c r="D36" s="39" t="s">
        <v>56</v>
      </c>
      <c r="E36" s="40" t="s">
        <v>57</v>
      </c>
      <c r="F36" s="22">
        <v>0</v>
      </c>
      <c r="G36" s="41">
        <f t="shared" ref="G36:G48" si="4">E36*F36</f>
        <v>0</v>
      </c>
      <c r="H36" s="42" t="s">
        <v>58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38" t="s">
        <v>59</v>
      </c>
      <c r="C37" s="38" t="s">
        <v>55</v>
      </c>
      <c r="D37" s="39" t="s">
        <v>56</v>
      </c>
      <c r="E37" s="41">
        <v>2</v>
      </c>
      <c r="F37" s="22">
        <v>3</v>
      </c>
      <c r="G37" s="41">
        <f t="shared" si="4"/>
        <v>6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.75" customHeight="1" x14ac:dyDescent="0.2">
      <c r="A38" s="1"/>
      <c r="B38" s="38" t="s">
        <v>60</v>
      </c>
      <c r="C38" s="38" t="s">
        <v>55</v>
      </c>
      <c r="D38" s="39" t="s">
        <v>56</v>
      </c>
      <c r="E38" s="41">
        <v>1</v>
      </c>
      <c r="F38" s="22">
        <v>5</v>
      </c>
      <c r="G38" s="41">
        <f t="shared" si="4"/>
        <v>5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38" t="s">
        <v>61</v>
      </c>
      <c r="C39" s="38" t="s">
        <v>55</v>
      </c>
      <c r="D39" s="39" t="s">
        <v>56</v>
      </c>
      <c r="E39" s="41">
        <v>1</v>
      </c>
      <c r="F39" s="22">
        <v>4</v>
      </c>
      <c r="G39" s="41">
        <f t="shared" si="4"/>
        <v>4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7.75" customHeight="1" x14ac:dyDescent="0.2">
      <c r="A40" s="1"/>
      <c r="B40" s="38" t="s">
        <v>62</v>
      </c>
      <c r="C40" s="38" t="s">
        <v>55</v>
      </c>
      <c r="D40" s="39" t="s">
        <v>56</v>
      </c>
      <c r="E40" s="40">
        <v>1</v>
      </c>
      <c r="F40" s="22">
        <v>2</v>
      </c>
      <c r="G40" s="41">
        <f t="shared" si="4"/>
        <v>2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7.75" customHeight="1" x14ac:dyDescent="0.2">
      <c r="A41" s="1"/>
      <c r="B41" s="38" t="s">
        <v>63</v>
      </c>
      <c r="C41" s="38" t="s">
        <v>55</v>
      </c>
      <c r="D41" s="39" t="s">
        <v>56</v>
      </c>
      <c r="E41" s="40">
        <v>0.5</v>
      </c>
      <c r="F41" s="22">
        <v>2</v>
      </c>
      <c r="G41" s="41">
        <f t="shared" si="4"/>
        <v>1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7.75" customHeight="1" x14ac:dyDescent="0.2">
      <c r="A42" s="1"/>
      <c r="B42" s="38" t="s">
        <v>64</v>
      </c>
      <c r="C42" s="38" t="s">
        <v>55</v>
      </c>
      <c r="D42" s="39" t="s">
        <v>56</v>
      </c>
      <c r="E42" s="40">
        <v>0.5</v>
      </c>
      <c r="F42" s="22">
        <v>3</v>
      </c>
      <c r="G42" s="41">
        <f t="shared" si="4"/>
        <v>1.5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7.75" customHeight="1" x14ac:dyDescent="0.2">
      <c r="A43" s="1"/>
      <c r="B43" s="38" t="s">
        <v>65</v>
      </c>
      <c r="C43" s="38" t="s">
        <v>55</v>
      </c>
      <c r="D43" s="39" t="s">
        <v>56</v>
      </c>
      <c r="E43" s="40">
        <v>2</v>
      </c>
      <c r="F43" s="22">
        <v>1</v>
      </c>
      <c r="G43" s="41">
        <f t="shared" si="4"/>
        <v>2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7.75" customHeight="1" x14ac:dyDescent="0.2">
      <c r="A44" s="1"/>
      <c r="B44" s="38" t="s">
        <v>66</v>
      </c>
      <c r="C44" s="38" t="s">
        <v>55</v>
      </c>
      <c r="D44" s="39" t="s">
        <v>56</v>
      </c>
      <c r="E44" s="40">
        <v>1</v>
      </c>
      <c r="F44" s="22">
        <v>2</v>
      </c>
      <c r="G44" s="41">
        <f t="shared" si="4"/>
        <v>2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7.75" customHeight="1" x14ac:dyDescent="0.2">
      <c r="A45" s="1"/>
      <c r="B45" s="38" t="s">
        <v>67</v>
      </c>
      <c r="C45" s="38" t="s">
        <v>55</v>
      </c>
      <c r="D45" s="39" t="s">
        <v>56</v>
      </c>
      <c r="E45" s="40">
        <v>1</v>
      </c>
      <c r="F45" s="22">
        <v>4</v>
      </c>
      <c r="G45" s="41">
        <f t="shared" si="4"/>
        <v>4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38" t="s">
        <v>68</v>
      </c>
      <c r="C46" s="38" t="s">
        <v>55</v>
      </c>
      <c r="D46" s="39" t="s">
        <v>56</v>
      </c>
      <c r="E46" s="41">
        <v>1</v>
      </c>
      <c r="F46" s="22">
        <v>3</v>
      </c>
      <c r="G46" s="41">
        <f t="shared" si="4"/>
        <v>3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38" t="s">
        <v>69</v>
      </c>
      <c r="C47" s="38" t="s">
        <v>55</v>
      </c>
      <c r="D47" s="39" t="s">
        <v>56</v>
      </c>
      <c r="E47" s="41">
        <v>1</v>
      </c>
      <c r="F47" s="22">
        <v>2</v>
      </c>
      <c r="G47" s="41">
        <f t="shared" si="4"/>
        <v>2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38" t="s">
        <v>70</v>
      </c>
      <c r="C48" s="38" t="s">
        <v>55</v>
      </c>
      <c r="D48" s="39" t="s">
        <v>56</v>
      </c>
      <c r="E48" s="40">
        <v>1</v>
      </c>
      <c r="F48" s="22">
        <v>2</v>
      </c>
      <c r="G48" s="41">
        <f t="shared" si="4"/>
        <v>2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7.75" customHeight="1" x14ac:dyDescent="0.2">
      <c r="A49" s="1"/>
      <c r="B49" s="67" t="s">
        <v>121</v>
      </c>
      <c r="C49" s="68"/>
      <c r="D49" s="68"/>
      <c r="E49" s="68"/>
      <c r="F49" s="69"/>
      <c r="G49" s="43">
        <f>SUM(G36:G48)</f>
        <v>34.5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7.75" customHeight="1" x14ac:dyDescent="0.2">
      <c r="A50" s="1"/>
      <c r="B50" s="67" t="s">
        <v>122</v>
      </c>
      <c r="C50" s="68"/>
      <c r="D50" s="68"/>
      <c r="E50" s="68"/>
      <c r="F50" s="69"/>
      <c r="G50" s="36">
        <f>0.6+(0.01*G49)</f>
        <v>0.94500000000000006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7.75" customHeight="1" x14ac:dyDescent="0.2">
      <c r="A51" s="1"/>
      <c r="B51" s="27"/>
      <c r="C51" s="3"/>
      <c r="D51" s="3"/>
      <c r="E51" s="3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7.75" customHeight="1" x14ac:dyDescent="0.2">
      <c r="A52" s="1"/>
      <c r="B52" s="44"/>
      <c r="C52" s="44"/>
      <c r="D52" s="45"/>
      <c r="E52" s="44"/>
      <c r="F52" s="44"/>
      <c r="G52" s="44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5" t="s">
        <v>73</v>
      </c>
      <c r="B53" s="17" t="s">
        <v>74</v>
      </c>
      <c r="C53" s="17" t="s">
        <v>75</v>
      </c>
      <c r="D53" s="16" t="s">
        <v>76</v>
      </c>
      <c r="E53" s="16" t="s">
        <v>9</v>
      </c>
      <c r="F53" s="16" t="s">
        <v>51</v>
      </c>
      <c r="G53" s="16" t="s">
        <v>52</v>
      </c>
      <c r="H53" s="1" t="s">
        <v>77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5.75" customHeight="1" x14ac:dyDescent="0.2">
      <c r="A54" s="1"/>
      <c r="B54" s="46" t="s">
        <v>78</v>
      </c>
      <c r="C54" s="38" t="s">
        <v>79</v>
      </c>
      <c r="D54" s="39" t="s">
        <v>56</v>
      </c>
      <c r="E54" s="40">
        <v>1.5</v>
      </c>
      <c r="F54" s="22">
        <v>3</v>
      </c>
      <c r="G54" s="41">
        <f t="shared" ref="G54:G61" si="5">E54*F54</f>
        <v>4.5</v>
      </c>
      <c r="H54" s="42" t="s">
        <v>58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46" t="s">
        <v>80</v>
      </c>
      <c r="C55" s="38" t="s">
        <v>79</v>
      </c>
      <c r="D55" s="39" t="s">
        <v>56</v>
      </c>
      <c r="E55" s="40">
        <v>0.5</v>
      </c>
      <c r="F55" s="22">
        <v>2</v>
      </c>
      <c r="G55" s="41">
        <f t="shared" si="5"/>
        <v>1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46" t="s">
        <v>81</v>
      </c>
      <c r="C56" s="38" t="s">
        <v>79</v>
      </c>
      <c r="D56" s="39" t="s">
        <v>56</v>
      </c>
      <c r="E56" s="40">
        <v>1</v>
      </c>
      <c r="F56" s="22">
        <v>4</v>
      </c>
      <c r="G56" s="41">
        <f t="shared" si="5"/>
        <v>4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46" t="s">
        <v>82</v>
      </c>
      <c r="C57" s="38" t="s">
        <v>79</v>
      </c>
      <c r="D57" s="39" t="s">
        <v>56</v>
      </c>
      <c r="E57" s="40">
        <v>0.5</v>
      </c>
      <c r="F57" s="22">
        <v>3</v>
      </c>
      <c r="G57" s="41">
        <f t="shared" si="5"/>
        <v>1.5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x14ac:dyDescent="0.2">
      <c r="A58" s="1"/>
      <c r="B58" s="46" t="s">
        <v>83</v>
      </c>
      <c r="C58" s="38" t="s">
        <v>84</v>
      </c>
      <c r="D58" s="39" t="s">
        <v>56</v>
      </c>
      <c r="E58" s="40">
        <v>1</v>
      </c>
      <c r="F58" s="22">
        <v>2</v>
      </c>
      <c r="G58" s="41">
        <f t="shared" si="5"/>
        <v>2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46" t="s">
        <v>85</v>
      </c>
      <c r="C59" s="38" t="s">
        <v>86</v>
      </c>
      <c r="D59" s="39" t="s">
        <v>56</v>
      </c>
      <c r="E59" s="40">
        <v>2</v>
      </c>
      <c r="F59" s="22">
        <v>3</v>
      </c>
      <c r="G59" s="41">
        <f t="shared" si="5"/>
        <v>6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46" t="s">
        <v>87</v>
      </c>
      <c r="C60" s="38" t="s">
        <v>88</v>
      </c>
      <c r="D60" s="39" t="s">
        <v>56</v>
      </c>
      <c r="E60" s="40">
        <v>-1</v>
      </c>
      <c r="F60" s="22">
        <v>5</v>
      </c>
      <c r="G60" s="41">
        <f t="shared" si="5"/>
        <v>-5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46" t="s">
        <v>89</v>
      </c>
      <c r="C61" s="38" t="s">
        <v>90</v>
      </c>
      <c r="D61" s="39" t="s">
        <v>56</v>
      </c>
      <c r="E61" s="40">
        <v>-1</v>
      </c>
      <c r="F61" s="22">
        <v>5</v>
      </c>
      <c r="G61" s="41">
        <f t="shared" si="5"/>
        <v>-5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7.75" customHeight="1" x14ac:dyDescent="0.2">
      <c r="A62" s="1"/>
      <c r="B62" s="67" t="s">
        <v>91</v>
      </c>
      <c r="C62" s="68"/>
      <c r="D62" s="68"/>
      <c r="E62" s="68"/>
      <c r="F62" s="69"/>
      <c r="G62" s="16">
        <f>SUM(G54:G61)</f>
        <v>9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7.75" customHeight="1" x14ac:dyDescent="0.2">
      <c r="A63" s="1"/>
      <c r="B63" s="67" t="s">
        <v>123</v>
      </c>
      <c r="C63" s="68"/>
      <c r="D63" s="68"/>
      <c r="E63" s="68"/>
      <c r="F63" s="69"/>
      <c r="G63" s="16">
        <f>1.4 + (-0.03*G62)</f>
        <v>1.1299999999999999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7.75" customHeight="1" x14ac:dyDescent="0.2">
      <c r="A64" s="1"/>
      <c r="B64" s="25"/>
      <c r="C64" s="47"/>
      <c r="D64" s="48"/>
      <c r="E64" s="47"/>
      <c r="F64" s="49" t="s">
        <v>93</v>
      </c>
      <c r="G64" s="16">
        <f>COUNTIF($F$54:$F$59,"&lt;3")+COUNTIF($F$60:$F$61,"&gt;3")</f>
        <v>4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7.75" customHeight="1" x14ac:dyDescent="0.2">
      <c r="A65" s="1"/>
      <c r="B65" s="27"/>
      <c r="C65" s="3"/>
      <c r="D65" s="3"/>
      <c r="E65" s="3"/>
      <c r="F65" s="3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7.75" customHeight="1" x14ac:dyDescent="0.2">
      <c r="A66" s="1"/>
      <c r="B66" s="1"/>
      <c r="C66" s="1"/>
      <c r="D66" s="2"/>
      <c r="E66" s="3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7.75" customHeight="1" x14ac:dyDescent="0.2">
      <c r="A67" s="15" t="s">
        <v>94</v>
      </c>
      <c r="B67" s="70" t="s">
        <v>124</v>
      </c>
      <c r="C67" s="68"/>
      <c r="D67" s="68"/>
      <c r="E67" s="68"/>
      <c r="F67" s="69"/>
      <c r="G67" s="50">
        <f>F29*G50*G63</f>
        <v>70.478099999999998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7.75" customHeight="1" x14ac:dyDescent="0.2">
      <c r="A68" s="1"/>
      <c r="B68" s="1"/>
      <c r="C68" s="1"/>
      <c r="D68" s="2"/>
      <c r="E68" s="3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7.75" customHeight="1" x14ac:dyDescent="0.2">
      <c r="A69" s="1"/>
      <c r="B69" s="1"/>
      <c r="C69" s="1"/>
      <c r="D69" s="2"/>
      <c r="E69" s="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51" t="s">
        <v>96</v>
      </c>
      <c r="B70" s="17" t="s">
        <v>97</v>
      </c>
      <c r="C70" s="17" t="s">
        <v>98</v>
      </c>
      <c r="D70" s="17" t="s">
        <v>99</v>
      </c>
      <c r="E70" s="3"/>
      <c r="F70" s="1"/>
      <c r="G70" s="17" t="s">
        <v>100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7.75" customHeight="1" x14ac:dyDescent="0.2">
      <c r="A71" s="1"/>
      <c r="B71" s="52">
        <v>20</v>
      </c>
      <c r="C71" s="52">
        <f>IF($G$64&gt;=5,36,IF(AND(G$64&gt;2,$G$64&lt;=4),28, IF(AND($G$64&gt;=0,$G$64&lt;=2),20,"error")))</f>
        <v>28</v>
      </c>
      <c r="D71" s="53">
        <f>IF($G$64&gt;=5,$G$71*(36/20),IF(AND($G$64&gt;2,$G$64&lt;=4),$G$71*(28/20), IF(AND($G$64&gt;=0,$G$64&lt;=2),$G$71,"error")))</f>
        <v>5.6</v>
      </c>
      <c r="E71" s="3"/>
      <c r="F71" s="1"/>
      <c r="G71" s="54">
        <v>4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7.75" customHeight="1" x14ac:dyDescent="0.2">
      <c r="A72" s="1"/>
      <c r="B72" s="71" t="s">
        <v>101</v>
      </c>
      <c r="C72" s="68"/>
      <c r="D72" s="69"/>
      <c r="E72" s="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7.75" customHeight="1" x14ac:dyDescent="0.2">
      <c r="A73" s="55" t="s">
        <v>102</v>
      </c>
      <c r="B73" s="52">
        <f t="shared" ref="B73:D73" si="6">$G$67*B71</f>
        <v>1409.5619999999999</v>
      </c>
      <c r="C73" s="52">
        <f t="shared" si="6"/>
        <v>1973.3868</v>
      </c>
      <c r="D73" s="52">
        <f t="shared" si="6"/>
        <v>394.67735999999996</v>
      </c>
      <c r="E73" s="3"/>
      <c r="F73" s="1"/>
      <c r="G73" s="17" t="s">
        <v>103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7.75" customHeight="1" x14ac:dyDescent="0.2">
      <c r="A74" s="55" t="s">
        <v>104</v>
      </c>
      <c r="B74" s="56">
        <f t="shared" ref="B74:C74" si="7">B73/(22*8)</f>
        <v>8.0088749999999997</v>
      </c>
      <c r="C74" s="56">
        <f t="shared" si="7"/>
        <v>11.212425</v>
      </c>
      <c r="D74" s="57">
        <f>D73/(22*G74)</f>
        <v>4.4849699999999997</v>
      </c>
      <c r="E74" s="3"/>
      <c r="F74" s="1"/>
      <c r="G74" s="54">
        <v>4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7.75" customHeight="1" x14ac:dyDescent="0.2">
      <c r="A75" s="1"/>
      <c r="B75" s="1"/>
      <c r="C75" s="1"/>
      <c r="D75" s="2"/>
      <c r="E75" s="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7.75" customHeight="1" x14ac:dyDescent="0.2">
      <c r="A76" s="1"/>
      <c r="B76" s="1"/>
      <c r="C76" s="1"/>
      <c r="D76" s="1"/>
      <c r="E76" s="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7.75" customHeight="1" x14ac:dyDescent="0.2">
      <c r="A77" s="15" t="s">
        <v>105</v>
      </c>
      <c r="B77" s="58" t="s">
        <v>106</v>
      </c>
      <c r="C77" s="59"/>
      <c r="D77" s="48"/>
      <c r="E77" s="47"/>
      <c r="F77" s="60"/>
      <c r="G77" s="60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7.75" customHeight="1" x14ac:dyDescent="0.2">
      <c r="A78" s="1"/>
      <c r="B78" s="37" t="s">
        <v>107</v>
      </c>
      <c r="C78" s="16" t="s">
        <v>108</v>
      </c>
      <c r="D78" s="50" t="s">
        <v>109</v>
      </c>
      <c r="E78" s="50" t="s">
        <v>110</v>
      </c>
      <c r="F78" s="50" t="s">
        <v>111</v>
      </c>
      <c r="G78" s="50" t="s">
        <v>112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7.75" customHeight="1" x14ac:dyDescent="0.2">
      <c r="A79" s="1"/>
      <c r="B79" s="61" t="s">
        <v>113</v>
      </c>
      <c r="C79" s="62">
        <v>0.4</v>
      </c>
      <c r="D79" s="56">
        <f t="shared" ref="D79:F79" si="8">$C79/$C$79*B$74</f>
        <v>8.0088749999999997</v>
      </c>
      <c r="E79" s="56">
        <f t="shared" si="8"/>
        <v>11.212425</v>
      </c>
      <c r="F79" s="56">
        <f t="shared" si="8"/>
        <v>4.4849699999999997</v>
      </c>
      <c r="G79" s="56">
        <f>D73</f>
        <v>394.67735999999996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7.75" customHeight="1" x14ac:dyDescent="0.2">
      <c r="A80" s="1"/>
      <c r="B80" s="61" t="s">
        <v>114</v>
      </c>
      <c r="C80" s="62">
        <f>1-C79</f>
        <v>0.6</v>
      </c>
      <c r="D80" s="52">
        <f t="shared" ref="D80:F80" si="9">$C80/$C$79*B$74</f>
        <v>12.013312499999998</v>
      </c>
      <c r="E80" s="52">
        <f t="shared" si="9"/>
        <v>16.818637499999998</v>
      </c>
      <c r="F80" s="52">
        <f t="shared" si="9"/>
        <v>6.7274549999999982</v>
      </c>
      <c r="G80" s="52">
        <f>D73*1.5</f>
        <v>592.01603999999998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7.75" customHeight="1" x14ac:dyDescent="0.2">
      <c r="A81" s="1"/>
      <c r="B81" s="63"/>
      <c r="C81" s="62">
        <f>SUM(C79:C80)</f>
        <v>1</v>
      </c>
      <c r="D81" s="56">
        <f t="shared" ref="D81:F81" si="10">$C81/$C$79*B$74</f>
        <v>20.022187500000001</v>
      </c>
      <c r="E81" s="56">
        <f t="shared" si="10"/>
        <v>28.031062499999997</v>
      </c>
      <c r="F81" s="56">
        <f t="shared" si="10"/>
        <v>11.212425</v>
      </c>
      <c r="G81" s="56">
        <f>G79+G80</f>
        <v>986.69339999999988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7.75" customHeight="1" x14ac:dyDescent="0.2">
      <c r="A82" s="1"/>
      <c r="B82" s="1"/>
      <c r="C82" s="1"/>
      <c r="D82" s="2"/>
      <c r="E82" s="3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7.75" customHeight="1" x14ac:dyDescent="0.2">
      <c r="A83" s="15" t="s">
        <v>115</v>
      </c>
      <c r="B83" s="22">
        <v>4</v>
      </c>
      <c r="C83" s="1"/>
      <c r="D83" s="2"/>
      <c r="E83" s="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7.75" customHeight="1" x14ac:dyDescent="0.2">
      <c r="A84" s="1"/>
      <c r="B84" s="1"/>
      <c r="C84" s="1"/>
      <c r="D84" s="2"/>
      <c r="E84" s="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7.75" customHeight="1" x14ac:dyDescent="0.2">
      <c r="A85" s="15" t="s">
        <v>116</v>
      </c>
      <c r="B85" s="50" t="s">
        <v>117</v>
      </c>
      <c r="C85" s="50" t="s">
        <v>118</v>
      </c>
      <c r="D85" s="50" t="s">
        <v>119</v>
      </c>
      <c r="E85" s="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7.75" customHeight="1" x14ac:dyDescent="0.2">
      <c r="A86" s="64"/>
      <c r="B86" s="65">
        <f>$D$81/$B$83</f>
        <v>5.0055468750000003</v>
      </c>
      <c r="C86" s="65">
        <f>$E$81/$B$83</f>
        <v>7.0077656249999993</v>
      </c>
      <c r="D86" s="65">
        <f>$F$81/$B$83</f>
        <v>2.8031062499999999</v>
      </c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 spans="1:26" ht="15.75" customHeight="1" x14ac:dyDescent="0.2">
      <c r="A87" s="64"/>
      <c r="B87" s="64"/>
      <c r="C87" s="64"/>
      <c r="D87" s="64"/>
      <c r="E87" s="66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 spans="1:26" ht="15.75" customHeight="1" x14ac:dyDescent="0.2">
      <c r="A88" s="64"/>
      <c r="B88" s="64"/>
      <c r="C88" s="64"/>
      <c r="D88" s="64"/>
      <c r="E88" s="66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 spans="1:26" ht="15.75" customHeight="1" x14ac:dyDescent="0.2">
      <c r="A89" s="76" t="s">
        <v>130</v>
      </c>
      <c r="B89" s="77" t="s">
        <v>131</v>
      </c>
      <c r="C89" s="77" t="s">
        <v>131</v>
      </c>
      <c r="D89" s="78" t="s">
        <v>131</v>
      </c>
      <c r="E89" s="79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</row>
    <row r="90" spans="1:26" ht="15.75" customHeight="1" x14ac:dyDescent="0.2">
      <c r="A90" s="81">
        <v>45957</v>
      </c>
      <c r="B90" s="82">
        <f>EDATE(A90,INT(B86)) + (B86-INT(B86))*DAY(EDATE(A90,INT(B86)+1)-EDATE(A90,INT(B86)))</f>
        <v>46108.171953124998</v>
      </c>
      <c r="C90" s="82">
        <f>EDATE(A90,INT(C86)) + (C86-INT(C86))*DAY(EDATE(A90,INT(C86)+1)-EDATE(A90,INT(C86)))</f>
        <v>46169.240734375002</v>
      </c>
      <c r="D90" s="82">
        <f>EDATE(A90,INT(D86)) + (D86-INT(D86))*DAY(EDATE(A90,INT(D86)+1)-EDATE(A90,INT(D86)))</f>
        <v>46042.896293749996</v>
      </c>
      <c r="E90" s="79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</row>
    <row r="91" spans="1:26" ht="15.75" customHeight="1" x14ac:dyDescent="0.2">
      <c r="A91" s="64"/>
      <c r="B91" s="64"/>
      <c r="C91" s="64"/>
      <c r="D91" s="64"/>
      <c r="E91" s="66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 spans="1:26" ht="15.75" customHeight="1" x14ac:dyDescent="0.2">
      <c r="A92" s="64"/>
      <c r="B92" s="64"/>
      <c r="C92" s="64"/>
      <c r="D92" s="64"/>
      <c r="E92" s="66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 spans="1:26" ht="15.75" customHeight="1" x14ac:dyDescent="0.2">
      <c r="A93" s="64"/>
      <c r="B93" s="64"/>
      <c r="C93" s="64"/>
      <c r="D93" s="64"/>
      <c r="E93" s="66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 spans="1:26" ht="15.75" customHeight="1" x14ac:dyDescent="0.2">
      <c r="A94" s="64"/>
      <c r="B94" s="64"/>
      <c r="C94" s="64"/>
      <c r="D94" s="64"/>
      <c r="E94" s="66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 spans="1:26" ht="15.75" customHeight="1" x14ac:dyDescent="0.2">
      <c r="A95" s="64"/>
      <c r="B95" s="64"/>
      <c r="C95" s="64"/>
      <c r="D95" s="64"/>
      <c r="E95" s="66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 spans="1:26" ht="15.75" customHeight="1" x14ac:dyDescent="0.2">
      <c r="A96" s="64"/>
      <c r="B96" s="64"/>
      <c r="C96" s="64"/>
      <c r="D96" s="64"/>
      <c r="E96" s="66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 spans="1:26" ht="15.75" customHeight="1" x14ac:dyDescent="0.2">
      <c r="A97" s="64"/>
      <c r="B97" s="64"/>
      <c r="C97" s="64"/>
      <c r="D97" s="64"/>
      <c r="E97" s="66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 spans="1:26" ht="15.75" customHeight="1" x14ac:dyDescent="0.2">
      <c r="A98" s="64"/>
      <c r="B98" s="64"/>
      <c r="C98" s="64"/>
      <c r="D98" s="64"/>
      <c r="E98" s="66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</row>
    <row r="99" spans="1:26" ht="15.75" customHeight="1" x14ac:dyDescent="0.2">
      <c r="A99" s="64"/>
      <c r="B99" s="64"/>
      <c r="C99" s="64"/>
      <c r="D99" s="64"/>
      <c r="E99" s="66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</row>
    <row r="100" spans="1:26" ht="15.75" customHeight="1" x14ac:dyDescent="0.2">
      <c r="A100" s="64"/>
      <c r="B100" s="64"/>
      <c r="C100" s="64"/>
      <c r="D100" s="64"/>
      <c r="E100" s="66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</row>
    <row r="101" spans="1:26" ht="15.75" customHeight="1" x14ac:dyDescent="0.2">
      <c r="A101" s="64"/>
      <c r="B101" s="64"/>
      <c r="C101" s="64"/>
      <c r="D101" s="64"/>
      <c r="E101" s="66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</row>
    <row r="102" spans="1:26" ht="15.75" customHeight="1" x14ac:dyDescent="0.2">
      <c r="A102" s="64"/>
      <c r="B102" s="64"/>
      <c r="C102" s="64"/>
      <c r="D102" s="64"/>
      <c r="E102" s="66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</row>
    <row r="103" spans="1:26" ht="15.75" customHeight="1" x14ac:dyDescent="0.2">
      <c r="A103" s="1"/>
      <c r="B103" s="1"/>
      <c r="C103" s="1"/>
      <c r="D103" s="2"/>
      <c r="E103" s="3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2"/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2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2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2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2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2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2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2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2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2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2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2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2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2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2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2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2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2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2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2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2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2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2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2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2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2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2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2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2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2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2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2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2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2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2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2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2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2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2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2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2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2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2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2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2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2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2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2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2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2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2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2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2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2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2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2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2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2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2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2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2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2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2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2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2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2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2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2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2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2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2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2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2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2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2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2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2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2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2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2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2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2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2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2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2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2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2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2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2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2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2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2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2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2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2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2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2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2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2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2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2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2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2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2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2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2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2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2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2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2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2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2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2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2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2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2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2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2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2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2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2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2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2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2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2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2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2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2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2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2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2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2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2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2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2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2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2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2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2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2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2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2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2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2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2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2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2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2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2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2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2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2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2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2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2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2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2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2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2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2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2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2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2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2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2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2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2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2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2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2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2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2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2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2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2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2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2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2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2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2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2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2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2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2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2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2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2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2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2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2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2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2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2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2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2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2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2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2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2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2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2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2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2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2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2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2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2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2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2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2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2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2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2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2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2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2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2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2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2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2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2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2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2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2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2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2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2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2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2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2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2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2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2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2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2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2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2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2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2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2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2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2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2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2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2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2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2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2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2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2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2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2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2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2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2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2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2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2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2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2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2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2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2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2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2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2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2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2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2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2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2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2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2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2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2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2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2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2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2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2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2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2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2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2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2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2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2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2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2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2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2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2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2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2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2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2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2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2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2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2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2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2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2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2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2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2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2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2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2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2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2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2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2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2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2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2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2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2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2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2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2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2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2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2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2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2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2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2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2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2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2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2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2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2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2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2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2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2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2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2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2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2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2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2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2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2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2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2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2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2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2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2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2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2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2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2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2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2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2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2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2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2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2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2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2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2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2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2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2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2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2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2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2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2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2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2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2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2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2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2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2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2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2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2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2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2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2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2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2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2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2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2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2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2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2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2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2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2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2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2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2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2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2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2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2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2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2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2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2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2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2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2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2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2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2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2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2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2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2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2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2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2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2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2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2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2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2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2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2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2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2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2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2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2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2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2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2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2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2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2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2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2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2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2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2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2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2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2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2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2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2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2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2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2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2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2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2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2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2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2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2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2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2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2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2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2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2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2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2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2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2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2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2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2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2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2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2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2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2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2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2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2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2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2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2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2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2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2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2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2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2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2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2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2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2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2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2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2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2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2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2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2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2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2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2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2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2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2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2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2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2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2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2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2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2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2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2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2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2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2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2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2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2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2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2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2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2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2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2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2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2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2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2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2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2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2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2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2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2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2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2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2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2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2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2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2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2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2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2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2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2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2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2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2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2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2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2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2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2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2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2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2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2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2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2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2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2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2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2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2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2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2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2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2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2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2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2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2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2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2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2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2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2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2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2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2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2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2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2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2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2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2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2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2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2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2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2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2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2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2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2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2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2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2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2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2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2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2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2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2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2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2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2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2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2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2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2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2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2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2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2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2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2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2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2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2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2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2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2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2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2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2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2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2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2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2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2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2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2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2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2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2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2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2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2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2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2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2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2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2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2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2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2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2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2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2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2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2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2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2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2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2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2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2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2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2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2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2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2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2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2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2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2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2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2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2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2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2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2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2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2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2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2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2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2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2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2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2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2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2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2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2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2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2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2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2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2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2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2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2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2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2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2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2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2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2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2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2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2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2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2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2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2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2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2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2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2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2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2"/>
      <c r="E951" s="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2"/>
      <c r="E952" s="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2"/>
      <c r="E953" s="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2"/>
      <c r="E954" s="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2"/>
      <c r="E955" s="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2"/>
      <c r="E956" s="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2"/>
      <c r="E957" s="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2"/>
      <c r="E958" s="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2"/>
      <c r="E959" s="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2"/>
      <c r="E960" s="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2"/>
      <c r="E961" s="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2"/>
      <c r="E962" s="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2"/>
      <c r="E963" s="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2"/>
      <c r="E964" s="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2"/>
      <c r="E965" s="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2"/>
      <c r="E966" s="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2"/>
      <c r="E967" s="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2"/>
      <c r="E968" s="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2"/>
      <c r="E969" s="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2"/>
      <c r="E970" s="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2"/>
      <c r="E971" s="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2"/>
      <c r="E972" s="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2"/>
      <c r="E973" s="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2"/>
      <c r="E974" s="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2"/>
      <c r="E975" s="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2"/>
      <c r="E976" s="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2"/>
      <c r="E977" s="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2"/>
      <c r="E978" s="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2"/>
      <c r="E979" s="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2"/>
      <c r="E980" s="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2"/>
      <c r="E981" s="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2"/>
      <c r="E982" s="3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2"/>
      <c r="E983" s="3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2"/>
      <c r="E984" s="3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2"/>
      <c r="E985" s="3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2"/>
      <c r="E986" s="3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2"/>
      <c r="E987" s="3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2"/>
      <c r="E988" s="3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2"/>
      <c r="E989" s="3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2"/>
      <c r="E990" s="3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2"/>
      <c r="E991" s="3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2"/>
      <c r="E992" s="3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2"/>
      <c r="E993" s="3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2"/>
      <c r="E994" s="3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2"/>
      <c r="E995" s="3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2"/>
      <c r="E996" s="3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2"/>
      <c r="E997" s="3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2"/>
      <c r="E998" s="3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2"/>
      <c r="E999" s="3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2"/>
      <c r="E1000" s="3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2">
      <c r="A1001" s="1"/>
      <c r="B1001" s="1"/>
      <c r="C1001" s="1"/>
      <c r="D1001" s="2"/>
      <c r="E1001" s="3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2">
      <c r="A1002" s="1"/>
      <c r="B1002" s="1"/>
      <c r="C1002" s="1"/>
      <c r="D1002" s="2"/>
      <c r="E1002" s="3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2">
      <c r="A1003" s="1"/>
      <c r="B1003" s="1"/>
      <c r="C1003" s="1"/>
      <c r="D1003" s="2"/>
      <c r="E1003" s="3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 x14ac:dyDescent="0.2">
      <c r="A1004" s="1"/>
      <c r="B1004" s="1"/>
      <c r="C1004" s="1"/>
      <c r="D1004" s="2"/>
      <c r="E1004" s="3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 x14ac:dyDescent="0.2">
      <c r="A1005" s="1"/>
      <c r="B1005" s="1"/>
      <c r="C1005" s="1"/>
      <c r="D1005" s="2"/>
      <c r="E1005" s="3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 x14ac:dyDescent="0.2">
      <c r="A1006" s="1"/>
      <c r="B1006" s="1"/>
      <c r="C1006" s="1"/>
      <c r="D1006" s="2"/>
      <c r="E1006" s="3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 x14ac:dyDescent="0.2">
      <c r="A1007" s="1"/>
      <c r="B1007" s="1"/>
      <c r="C1007" s="1"/>
      <c r="D1007" s="2"/>
      <c r="E1007" s="3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</sheetData>
  <mergeCells count="10">
    <mergeCell ref="B63:F63"/>
    <mergeCell ref="B67:F67"/>
    <mergeCell ref="B72:D72"/>
    <mergeCell ref="B2:G2"/>
    <mergeCell ref="C13:F13"/>
    <mergeCell ref="C25:E25"/>
    <mergeCell ref="C29:E29"/>
    <mergeCell ref="B49:F49"/>
    <mergeCell ref="B50:F50"/>
    <mergeCell ref="B62:F62"/>
  </mergeCells>
  <dataValidations count="2">
    <dataValidation type="list" allowBlank="1" showErrorMessage="1" sqref="C8:C12" xr:uid="{00000000-0002-0000-0100-000000000000}">
      <formula1>"Simple,Intermedio,Complejo"</formula1>
    </dataValidation>
    <dataValidation type="decimal" allowBlank="1" showInputMessage="1" showErrorMessage="1" prompt="Entre 1 y 9 personas." sqref="B83" xr:uid="{00000000-0002-0000-0100-000001000000}">
      <formula1>1</formula1>
      <formula2>9</formula2>
    </dataValidation>
  </dataValidations>
  <hyperlinks>
    <hyperlink ref="H36" r:id="rId1" location="v=onepage&amp;q=e7%20part-time%20members&amp;f=false" xr:uid="{00000000-0004-0000-0100-000000000000}"/>
    <hyperlink ref="H54" r:id="rId2" location="v=onepage&amp;q=e7%20part-time%20members&amp;f=false" xr:uid="{00000000-0004-0000-0100-000001000000}"/>
  </hyperlinks>
  <pageMargins left="0.75" right="0.75" top="1" bottom="1" header="0" footer="0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7"/>
  <sheetViews>
    <sheetView tabSelected="1" topLeftCell="A75" zoomScale="70" zoomScaleNormal="70" workbookViewId="0">
      <selection activeCell="F87" sqref="F87"/>
    </sheetView>
  </sheetViews>
  <sheetFormatPr baseColWidth="10" defaultColWidth="12.7109375" defaultRowHeight="15" customHeight="1" x14ac:dyDescent="0.2"/>
  <cols>
    <col min="1" max="1" width="27.7109375" customWidth="1"/>
    <col min="2" max="2" width="51.140625" customWidth="1"/>
    <col min="3" max="3" width="42.7109375" customWidth="1"/>
    <col min="4" max="4" width="38.7109375" customWidth="1"/>
    <col min="5" max="5" width="13.7109375" customWidth="1"/>
    <col min="6" max="6" width="16.140625" customWidth="1"/>
    <col min="7" max="7" width="16.7109375" customWidth="1"/>
    <col min="8" max="8" width="34.28515625" customWidth="1"/>
    <col min="9" max="9" width="10.7109375" customWidth="1"/>
    <col min="10" max="10" width="13.7109375" customWidth="1"/>
    <col min="11" max="26" width="9.140625" customWidth="1"/>
  </cols>
  <sheetData>
    <row r="1" spans="1:26" ht="27.75" customHeight="1" x14ac:dyDescent="0.2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.75" customHeight="1" x14ac:dyDescent="0.2">
      <c r="A2" s="4"/>
      <c r="B2" s="72" t="s">
        <v>0</v>
      </c>
      <c r="C2" s="68"/>
      <c r="D2" s="68"/>
      <c r="E2" s="68"/>
      <c r="F2" s="68"/>
      <c r="G2" s="69"/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7.75" customHeight="1" x14ac:dyDescent="0.2">
      <c r="A3" s="4"/>
      <c r="B3" s="6" t="s">
        <v>1</v>
      </c>
      <c r="C3" s="4" t="s">
        <v>2</v>
      </c>
      <c r="D3" s="7"/>
      <c r="E3" s="7"/>
      <c r="F3" s="7"/>
      <c r="G3" s="8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7.75" customHeight="1" x14ac:dyDescent="0.2">
      <c r="A4" s="4"/>
      <c r="B4" s="9" t="s">
        <v>3</v>
      </c>
      <c r="C4" s="10" t="s">
        <v>4</v>
      </c>
      <c r="D4" s="11"/>
      <c r="E4" s="11"/>
      <c r="F4" s="11"/>
      <c r="G4" s="12"/>
      <c r="H4" s="7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7.75" customHeight="1" x14ac:dyDescent="0.2">
      <c r="A5" s="1"/>
      <c r="B5" s="13"/>
      <c r="C5" s="1"/>
      <c r="D5" s="14"/>
      <c r="E5" s="14"/>
      <c r="F5" s="14"/>
      <c r="G5" s="14"/>
      <c r="H5" s="1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.75" customHeight="1" x14ac:dyDescent="0.2">
      <c r="A6" s="1"/>
      <c r="B6" s="1"/>
      <c r="C6" s="1"/>
      <c r="D6" s="2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5" t="s">
        <v>5</v>
      </c>
      <c r="B7" s="16" t="s">
        <v>6</v>
      </c>
      <c r="C7" s="17" t="s">
        <v>7</v>
      </c>
      <c r="D7" s="17" t="s">
        <v>8</v>
      </c>
      <c r="E7" s="16" t="s">
        <v>9</v>
      </c>
      <c r="F7" s="16" t="s">
        <v>10</v>
      </c>
      <c r="G7" s="16" t="s">
        <v>11</v>
      </c>
      <c r="H7" s="14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27.75" customHeight="1" x14ac:dyDescent="0.2">
      <c r="A8" s="1"/>
      <c r="B8" s="18" t="s">
        <v>12</v>
      </c>
      <c r="C8" s="19" t="s">
        <v>13</v>
      </c>
      <c r="D8" s="20" t="s">
        <v>14</v>
      </c>
      <c r="E8" s="21">
        <f t="shared" ref="E8:E12" si="0">IF(C8="Simple",1,IF(C8="Intermedio",2,IF(C8="Complejo",3,"error")))</f>
        <v>3</v>
      </c>
      <c r="F8" s="22">
        <v>1</v>
      </c>
      <c r="G8" s="21">
        <f t="shared" ref="G8:G12" si="1">E8*F8</f>
        <v>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5" customHeight="1" x14ac:dyDescent="0.2">
      <c r="A9" s="1"/>
      <c r="B9" s="18" t="s">
        <v>15</v>
      </c>
      <c r="C9" s="19" t="s">
        <v>13</v>
      </c>
      <c r="D9" s="23" t="s">
        <v>16</v>
      </c>
      <c r="E9" s="21">
        <f t="shared" si="0"/>
        <v>3</v>
      </c>
      <c r="F9" s="22">
        <v>3</v>
      </c>
      <c r="G9" s="21">
        <f t="shared" si="1"/>
        <v>9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.75" customHeight="1" x14ac:dyDescent="0.2">
      <c r="A10" s="1"/>
      <c r="B10" s="18" t="s">
        <v>17</v>
      </c>
      <c r="C10" s="19" t="s">
        <v>18</v>
      </c>
      <c r="D10" s="23" t="s">
        <v>19</v>
      </c>
      <c r="E10" s="21">
        <f t="shared" si="0"/>
        <v>2</v>
      </c>
      <c r="F10" s="22">
        <v>1</v>
      </c>
      <c r="G10" s="21">
        <f t="shared" si="1"/>
        <v>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.75" customHeight="1" x14ac:dyDescent="0.2">
      <c r="A11" s="1"/>
      <c r="B11" s="18" t="s">
        <v>20</v>
      </c>
      <c r="C11" s="19" t="s">
        <v>21</v>
      </c>
      <c r="D11" s="23" t="s">
        <v>22</v>
      </c>
      <c r="E11" s="21">
        <f t="shared" si="0"/>
        <v>1</v>
      </c>
      <c r="F11" s="22">
        <v>1</v>
      </c>
      <c r="G11" s="21">
        <f t="shared" si="1"/>
        <v>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.75" customHeight="1" x14ac:dyDescent="0.2">
      <c r="A12" s="1"/>
      <c r="B12" s="18" t="s">
        <v>23</v>
      </c>
      <c r="C12" s="19" t="s">
        <v>21</v>
      </c>
      <c r="D12" s="23" t="s">
        <v>24</v>
      </c>
      <c r="E12" s="21">
        <f t="shared" si="0"/>
        <v>1</v>
      </c>
      <c r="F12" s="22">
        <v>1</v>
      </c>
      <c r="G12" s="21">
        <f t="shared" si="1"/>
        <v>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.75" customHeight="1" x14ac:dyDescent="0.2">
      <c r="A13" s="1"/>
      <c r="B13" s="24"/>
      <c r="C13" s="67" t="s">
        <v>25</v>
      </c>
      <c r="D13" s="68"/>
      <c r="E13" s="68"/>
      <c r="F13" s="69"/>
      <c r="G13" s="26">
        <f>SUM(G8:G12)</f>
        <v>16</v>
      </c>
      <c r="H13" s="1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7.75" customHeight="1" x14ac:dyDescent="0.2">
      <c r="A14" s="1"/>
      <c r="B14" s="15"/>
      <c r="C14" s="27" t="s">
        <v>26</v>
      </c>
      <c r="D14" s="3"/>
      <c r="E14" s="3"/>
      <c r="F14" s="3"/>
      <c r="G14" s="28"/>
      <c r="H14" s="1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.75" customHeight="1" x14ac:dyDescent="0.2">
      <c r="A15" s="1"/>
      <c r="B15" s="15"/>
      <c r="C15" s="29"/>
      <c r="D15" s="29"/>
      <c r="E15" s="30"/>
      <c r="F15" s="15"/>
      <c r="G15" s="15"/>
      <c r="H15" s="15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7.75" customHeight="1" x14ac:dyDescent="0.2">
      <c r="A16" s="15" t="s">
        <v>27</v>
      </c>
      <c r="B16" s="16" t="s">
        <v>28</v>
      </c>
      <c r="C16" s="16" t="s">
        <v>29</v>
      </c>
      <c r="D16" s="17" t="s">
        <v>30</v>
      </c>
      <c r="E16" s="17" t="s">
        <v>31</v>
      </c>
      <c r="F16" s="16" t="s">
        <v>9</v>
      </c>
      <c r="G16" s="14"/>
      <c r="H16" s="1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31"/>
      <c r="U16" s="1"/>
      <c r="V16" s="1"/>
      <c r="W16" s="1"/>
      <c r="X16" s="1"/>
      <c r="Y16" s="1"/>
      <c r="Z16" s="1"/>
    </row>
    <row r="17" spans="1:26" ht="27.75" customHeight="1" x14ac:dyDescent="0.2">
      <c r="A17" s="1"/>
      <c r="B17" s="32" t="s">
        <v>33</v>
      </c>
      <c r="C17" s="33" t="s">
        <v>32</v>
      </c>
      <c r="D17" s="33">
        <v>3</v>
      </c>
      <c r="E17" s="34" t="str">
        <f t="shared" ref="E17:E24" si="2">IF($D17&gt;0,IF($D17&lt;=3,"Simple",IF(AND($D17&gt;3,$D17&lt;7),"Intermedio",IF($D17&gt;=7,"Complejo","error"))),"-")</f>
        <v>Simple</v>
      </c>
      <c r="F17" s="21">
        <f t="shared" ref="F17:F24" si="3">IF($D17&gt;0,IF($D17&lt;=3,5,IF(AND($D17&gt;3,$D17&lt;7),10,IF($D17&gt;=7,15,"error"))),0)</f>
        <v>5</v>
      </c>
      <c r="G17" s="1"/>
      <c r="H17" s="1"/>
      <c r="I17" s="1"/>
      <c r="J17" s="1"/>
      <c r="K17" s="31"/>
      <c r="L17" s="1"/>
      <c r="M17" s="1"/>
      <c r="N17" s="1"/>
      <c r="O17" s="1"/>
      <c r="P17" s="1"/>
      <c r="Q17" s="1"/>
      <c r="R17" s="1"/>
      <c r="S17" s="1"/>
      <c r="T17" s="31"/>
      <c r="U17" s="1"/>
      <c r="V17" s="1"/>
      <c r="W17" s="1"/>
      <c r="X17" s="1"/>
      <c r="Y17" s="1"/>
      <c r="Z17" s="1"/>
    </row>
    <row r="18" spans="1:26" ht="27.75" customHeight="1" x14ac:dyDescent="0.2">
      <c r="A18" s="1"/>
      <c r="B18" s="32" t="s">
        <v>34</v>
      </c>
      <c r="C18" s="33" t="s">
        <v>35</v>
      </c>
      <c r="D18" s="33">
        <v>3</v>
      </c>
      <c r="E18" s="34" t="str">
        <f t="shared" si="2"/>
        <v>Simple</v>
      </c>
      <c r="F18" s="21">
        <f t="shared" si="3"/>
        <v>5</v>
      </c>
      <c r="G18" s="1"/>
      <c r="H18" s="1"/>
      <c r="I18" s="1"/>
      <c r="J18" s="1"/>
      <c r="K18" s="31"/>
      <c r="L18" s="1"/>
      <c r="M18" s="1"/>
      <c r="N18" s="1"/>
      <c r="O18" s="1"/>
      <c r="P18" s="1"/>
      <c r="Q18" s="1"/>
      <c r="R18" s="1"/>
      <c r="S18" s="1"/>
      <c r="T18" s="31"/>
      <c r="U18" s="1"/>
      <c r="V18" s="1"/>
      <c r="W18" s="1"/>
      <c r="X18" s="1"/>
      <c r="Y18" s="1"/>
      <c r="Z18" s="1"/>
    </row>
    <row r="19" spans="1:26" ht="27.75" customHeight="1" x14ac:dyDescent="0.2">
      <c r="A19" s="1"/>
      <c r="B19" s="32" t="s">
        <v>36</v>
      </c>
      <c r="C19" s="33" t="s">
        <v>35</v>
      </c>
      <c r="D19" s="33">
        <v>3</v>
      </c>
      <c r="E19" s="34" t="str">
        <f t="shared" si="2"/>
        <v>Simple</v>
      </c>
      <c r="F19" s="21">
        <f t="shared" si="3"/>
        <v>5</v>
      </c>
      <c r="G19" s="1"/>
      <c r="H19" s="1"/>
      <c r="I19" s="1"/>
      <c r="J19" s="1"/>
      <c r="K19" s="31"/>
      <c r="L19" s="1"/>
      <c r="M19" s="1"/>
      <c r="N19" s="1"/>
      <c r="O19" s="1"/>
      <c r="P19" s="1"/>
      <c r="Q19" s="1"/>
      <c r="R19" s="1"/>
      <c r="S19" s="1"/>
      <c r="T19" s="31"/>
      <c r="U19" s="1"/>
      <c r="V19" s="1"/>
      <c r="W19" s="1"/>
      <c r="X19" s="1"/>
      <c r="Y19" s="1"/>
      <c r="Z19" s="1"/>
    </row>
    <row r="20" spans="1:26" ht="27.75" customHeight="1" x14ac:dyDescent="0.2">
      <c r="A20" s="1"/>
      <c r="B20" s="32" t="s">
        <v>37</v>
      </c>
      <c r="C20" s="33" t="s">
        <v>35</v>
      </c>
      <c r="D20" s="33">
        <v>3</v>
      </c>
      <c r="E20" s="34" t="str">
        <f t="shared" si="2"/>
        <v>Simple</v>
      </c>
      <c r="F20" s="21">
        <f t="shared" si="3"/>
        <v>5</v>
      </c>
      <c r="G20" s="1"/>
      <c r="H20" s="1"/>
      <c r="I20" s="1"/>
      <c r="J20" s="1"/>
      <c r="K20" s="31"/>
      <c r="L20" s="1"/>
      <c r="M20" s="1"/>
      <c r="N20" s="1"/>
      <c r="O20" s="1"/>
      <c r="P20" s="1"/>
      <c r="Q20" s="1"/>
      <c r="R20" s="1"/>
      <c r="S20" s="1"/>
      <c r="T20" s="31"/>
      <c r="U20" s="1"/>
      <c r="V20" s="1"/>
      <c r="W20" s="1"/>
      <c r="X20" s="1"/>
      <c r="Y20" s="1"/>
      <c r="Z20" s="1"/>
    </row>
    <row r="21" spans="1:26" ht="27.75" customHeight="1" x14ac:dyDescent="0.2">
      <c r="A21" s="1"/>
      <c r="B21" s="32" t="s">
        <v>38</v>
      </c>
      <c r="C21" s="33" t="s">
        <v>35</v>
      </c>
      <c r="D21" s="33">
        <v>3</v>
      </c>
      <c r="E21" s="34" t="str">
        <f t="shared" si="2"/>
        <v>Simple</v>
      </c>
      <c r="F21" s="21">
        <f t="shared" si="3"/>
        <v>5</v>
      </c>
      <c r="G21" s="1"/>
      <c r="H21" s="1"/>
      <c r="I21" s="1"/>
      <c r="J21" s="1"/>
      <c r="K21" s="31"/>
      <c r="L21" s="1"/>
      <c r="M21" s="1"/>
      <c r="N21" s="1"/>
      <c r="O21" s="1"/>
      <c r="P21" s="1"/>
      <c r="Q21" s="1"/>
      <c r="R21" s="1"/>
      <c r="S21" s="1"/>
      <c r="T21" s="31"/>
      <c r="U21" s="1"/>
      <c r="V21" s="1"/>
      <c r="W21" s="1"/>
      <c r="X21" s="1"/>
      <c r="Y21" s="1"/>
      <c r="Z21" s="1"/>
    </row>
    <row r="22" spans="1:26" ht="27.75" customHeight="1" x14ac:dyDescent="0.2">
      <c r="A22" s="1"/>
      <c r="B22" s="32" t="s">
        <v>39</v>
      </c>
      <c r="C22" s="33" t="s">
        <v>40</v>
      </c>
      <c r="D22" s="33">
        <v>4</v>
      </c>
      <c r="E22" s="34" t="str">
        <f t="shared" si="2"/>
        <v>Intermedio</v>
      </c>
      <c r="F22" s="21">
        <f t="shared" si="3"/>
        <v>10</v>
      </c>
      <c r="G22" s="1"/>
      <c r="H22" s="1"/>
      <c r="I22" s="1"/>
      <c r="J22" s="1"/>
      <c r="K22" s="31"/>
      <c r="L22" s="1"/>
      <c r="M22" s="1"/>
      <c r="N22" s="1"/>
      <c r="O22" s="1"/>
      <c r="P22" s="1"/>
      <c r="Q22" s="1"/>
      <c r="R22" s="1"/>
      <c r="S22" s="1"/>
      <c r="T22" s="31"/>
      <c r="U22" s="1"/>
      <c r="V22" s="1"/>
      <c r="W22" s="1"/>
      <c r="X22" s="1"/>
      <c r="Y22" s="1"/>
      <c r="Z22" s="1"/>
    </row>
    <row r="23" spans="1:26" ht="27.75" customHeight="1" x14ac:dyDescent="0.2">
      <c r="A23" s="1"/>
      <c r="B23" s="32" t="s">
        <v>41</v>
      </c>
      <c r="C23" s="33" t="s">
        <v>42</v>
      </c>
      <c r="D23" s="33">
        <v>4</v>
      </c>
      <c r="E23" s="34" t="str">
        <f t="shared" si="2"/>
        <v>Intermedio</v>
      </c>
      <c r="F23" s="21">
        <f t="shared" si="3"/>
        <v>10</v>
      </c>
      <c r="G23" s="1"/>
      <c r="H23" s="1"/>
      <c r="I23" s="1"/>
      <c r="J23" s="1"/>
      <c r="K23" s="31"/>
      <c r="L23" s="1"/>
      <c r="M23" s="1"/>
      <c r="N23" s="1"/>
      <c r="O23" s="1"/>
      <c r="P23" s="1"/>
      <c r="Q23" s="1"/>
      <c r="R23" s="1"/>
      <c r="S23" s="1"/>
      <c r="T23" s="31"/>
      <c r="U23" s="1"/>
      <c r="V23" s="1"/>
      <c r="W23" s="1"/>
      <c r="X23" s="1"/>
      <c r="Y23" s="1"/>
      <c r="Z23" s="1"/>
    </row>
    <row r="24" spans="1:26" ht="27.75" customHeight="1" x14ac:dyDescent="0.2">
      <c r="A24" s="1"/>
      <c r="B24" s="32" t="s">
        <v>43</v>
      </c>
      <c r="C24" s="33" t="s">
        <v>35</v>
      </c>
      <c r="D24" s="33">
        <v>3</v>
      </c>
      <c r="E24" s="34" t="str">
        <f t="shared" si="2"/>
        <v>Simple</v>
      </c>
      <c r="F24" s="21">
        <f t="shared" si="3"/>
        <v>5</v>
      </c>
      <c r="G24" s="1"/>
      <c r="H24" s="1"/>
      <c r="I24" s="1"/>
      <c r="J24" s="1"/>
      <c r="K24" s="31"/>
      <c r="L24" s="1"/>
      <c r="M24" s="1"/>
      <c r="N24" s="1"/>
      <c r="O24" s="1"/>
      <c r="P24" s="1"/>
      <c r="Q24" s="1"/>
      <c r="R24" s="1"/>
      <c r="S24" s="1"/>
      <c r="T24" s="31"/>
      <c r="U24" s="1"/>
      <c r="V24" s="1"/>
      <c r="W24" s="1"/>
      <c r="X24" s="1"/>
      <c r="Y24" s="1"/>
      <c r="Z24" s="1"/>
    </row>
    <row r="25" spans="1:26" ht="27.75" customHeight="1" x14ac:dyDescent="0.2">
      <c r="A25" s="1"/>
      <c r="B25" s="35"/>
      <c r="C25" s="73" t="s">
        <v>44</v>
      </c>
      <c r="D25" s="74"/>
      <c r="E25" s="75"/>
      <c r="F25" s="36">
        <f>SUM(F17:F24)</f>
        <v>50</v>
      </c>
      <c r="G25" s="1"/>
      <c r="H25" s="1"/>
      <c r="I25" s="1"/>
      <c r="J25" s="1"/>
      <c r="K25" s="31"/>
      <c r="L25" s="1"/>
      <c r="M25" s="1"/>
      <c r="N25" s="1"/>
      <c r="O25" s="1"/>
      <c r="P25" s="1"/>
      <c r="Q25" s="1"/>
      <c r="R25" s="1"/>
      <c r="S25" s="1"/>
      <c r="T25" s="31"/>
      <c r="U25" s="1"/>
      <c r="V25" s="1"/>
      <c r="W25" s="1"/>
      <c r="X25" s="1"/>
      <c r="Y25" s="1"/>
      <c r="Z25" s="1"/>
    </row>
    <row r="26" spans="1:26" ht="27.75" customHeight="1" x14ac:dyDescent="0.2">
      <c r="A26" s="1"/>
      <c r="G26" s="1"/>
      <c r="H26" s="1"/>
      <c r="I26" s="1"/>
      <c r="J26" s="1"/>
      <c r="K26" s="31"/>
      <c r="L26" s="1"/>
      <c r="M26" s="1"/>
      <c r="N26" s="1"/>
      <c r="O26" s="1"/>
      <c r="P26" s="1"/>
      <c r="Q26" s="1"/>
      <c r="R26" s="1"/>
      <c r="S26" s="1"/>
      <c r="T26" s="31"/>
      <c r="U26" s="1"/>
      <c r="V26" s="1"/>
      <c r="W26" s="1"/>
      <c r="X26" s="1"/>
      <c r="Y26" s="1"/>
      <c r="Z26" s="1"/>
    </row>
    <row r="27" spans="1:26" ht="27.75" customHeight="1" x14ac:dyDescent="0.2">
      <c r="A27" s="1"/>
      <c r="G27" s="1"/>
      <c r="H27" s="1"/>
      <c r="I27" s="1"/>
      <c r="J27" s="1"/>
      <c r="K27" s="31"/>
      <c r="L27" s="1"/>
      <c r="M27" s="1"/>
      <c r="N27" s="1"/>
      <c r="O27" s="1"/>
      <c r="P27" s="1"/>
      <c r="Q27" s="1"/>
      <c r="R27" s="1"/>
      <c r="S27" s="1"/>
      <c r="T27" s="31"/>
      <c r="U27" s="1"/>
      <c r="V27" s="1"/>
      <c r="W27" s="1"/>
      <c r="X27" s="1"/>
      <c r="Y27" s="1"/>
      <c r="Z27" s="1"/>
    </row>
    <row r="28" spans="1:26" ht="27.75" customHeight="1" x14ac:dyDescent="0.2">
      <c r="A28" s="1"/>
      <c r="G28" s="1"/>
      <c r="H28" s="1"/>
      <c r="I28" s="1"/>
      <c r="J28" s="1"/>
      <c r="K28" s="31"/>
      <c r="L28" s="1"/>
      <c r="M28" s="1"/>
      <c r="N28" s="1"/>
      <c r="O28" s="1"/>
      <c r="P28" s="1"/>
      <c r="Q28" s="1"/>
      <c r="R28" s="1"/>
      <c r="S28" s="1"/>
      <c r="T28" s="31"/>
      <c r="U28" s="1"/>
      <c r="V28" s="1"/>
      <c r="W28" s="1"/>
      <c r="X28" s="1"/>
      <c r="Y28" s="1"/>
      <c r="Z28" s="1"/>
    </row>
    <row r="29" spans="1:26" ht="27.75" customHeight="1" x14ac:dyDescent="0.2">
      <c r="A29" s="15" t="s">
        <v>45</v>
      </c>
      <c r="B29" s="37"/>
      <c r="C29" s="67" t="s">
        <v>125</v>
      </c>
      <c r="D29" s="68"/>
      <c r="E29" s="69"/>
      <c r="F29" s="26">
        <f>G13+F25</f>
        <v>66</v>
      </c>
      <c r="G29" s="1"/>
      <c r="H29" s="15"/>
      <c r="I29" s="1"/>
      <c r="J29" s="1"/>
      <c r="K29" s="3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7.75" customHeight="1" x14ac:dyDescent="0.2">
      <c r="A30" s="1"/>
      <c r="B30" s="1"/>
      <c r="C30" s="1"/>
      <c r="D30" s="2"/>
      <c r="E30" s="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7.75" customHeight="1" x14ac:dyDescent="0.2">
      <c r="A31" s="1"/>
      <c r="B31" s="1"/>
      <c r="C31" s="1"/>
      <c r="D31" s="2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7.75" customHeight="1" x14ac:dyDescent="0.2">
      <c r="G32" s="1"/>
      <c r="H32" s="15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7.75" customHeight="1" x14ac:dyDescent="0.2">
      <c r="A33" s="1"/>
      <c r="B33" s="1"/>
      <c r="C33" s="1"/>
      <c r="D33" s="2"/>
      <c r="E33" s="3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7.75" customHeight="1" x14ac:dyDescent="0.2">
      <c r="A34" s="1"/>
      <c r="B34" s="3"/>
      <c r="C34" s="1"/>
      <c r="D34" s="2"/>
      <c r="E34" s="3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7.75" customHeight="1" x14ac:dyDescent="0.2">
      <c r="A35" s="15" t="s">
        <v>47</v>
      </c>
      <c r="B35" s="17" t="s">
        <v>48</v>
      </c>
      <c r="C35" s="17" t="s">
        <v>49</v>
      </c>
      <c r="D35" s="16" t="s">
        <v>50</v>
      </c>
      <c r="E35" s="16" t="s">
        <v>9</v>
      </c>
      <c r="F35" s="16" t="s">
        <v>51</v>
      </c>
      <c r="G35" s="16" t="s">
        <v>52</v>
      </c>
      <c r="H35" s="1" t="s">
        <v>53</v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27.75" customHeight="1" x14ac:dyDescent="0.2">
      <c r="A36" s="1"/>
      <c r="B36" s="38" t="s">
        <v>54</v>
      </c>
      <c r="C36" s="38" t="s">
        <v>55</v>
      </c>
      <c r="D36" s="39" t="s">
        <v>56</v>
      </c>
      <c r="E36" s="40" t="s">
        <v>57</v>
      </c>
      <c r="F36" s="22">
        <v>0</v>
      </c>
      <c r="G36" s="41">
        <f t="shared" ref="G36:G48" si="4">E36*F36</f>
        <v>0</v>
      </c>
      <c r="H36" s="42" t="s">
        <v>58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38" t="s">
        <v>59</v>
      </c>
      <c r="C37" s="38" t="s">
        <v>55</v>
      </c>
      <c r="D37" s="39" t="s">
        <v>56</v>
      </c>
      <c r="E37" s="41">
        <v>2</v>
      </c>
      <c r="F37" s="22">
        <v>3</v>
      </c>
      <c r="G37" s="41">
        <f t="shared" si="4"/>
        <v>6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.75" customHeight="1" x14ac:dyDescent="0.2">
      <c r="A38" s="1"/>
      <c r="B38" s="38" t="s">
        <v>60</v>
      </c>
      <c r="C38" s="38" t="s">
        <v>55</v>
      </c>
      <c r="D38" s="39" t="s">
        <v>56</v>
      </c>
      <c r="E38" s="41">
        <v>1</v>
      </c>
      <c r="F38" s="22">
        <v>5</v>
      </c>
      <c r="G38" s="41">
        <f t="shared" si="4"/>
        <v>5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38" t="s">
        <v>61</v>
      </c>
      <c r="C39" s="38" t="s">
        <v>55</v>
      </c>
      <c r="D39" s="39" t="s">
        <v>56</v>
      </c>
      <c r="E39" s="41">
        <v>1</v>
      </c>
      <c r="F39" s="22">
        <v>4</v>
      </c>
      <c r="G39" s="41">
        <f t="shared" si="4"/>
        <v>4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7.75" customHeight="1" x14ac:dyDescent="0.2">
      <c r="A40" s="1"/>
      <c r="B40" s="38" t="s">
        <v>62</v>
      </c>
      <c r="C40" s="38" t="s">
        <v>55</v>
      </c>
      <c r="D40" s="39" t="s">
        <v>56</v>
      </c>
      <c r="E40" s="40">
        <v>1</v>
      </c>
      <c r="F40" s="22">
        <v>2</v>
      </c>
      <c r="G40" s="41">
        <f t="shared" si="4"/>
        <v>2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7.75" customHeight="1" x14ac:dyDescent="0.2">
      <c r="A41" s="1"/>
      <c r="B41" s="38" t="s">
        <v>63</v>
      </c>
      <c r="C41" s="38" t="s">
        <v>55</v>
      </c>
      <c r="D41" s="39" t="s">
        <v>56</v>
      </c>
      <c r="E41" s="40">
        <v>0.5</v>
      </c>
      <c r="F41" s="22">
        <v>2</v>
      </c>
      <c r="G41" s="41">
        <f t="shared" si="4"/>
        <v>1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7.75" customHeight="1" x14ac:dyDescent="0.2">
      <c r="A42" s="1"/>
      <c r="B42" s="38" t="s">
        <v>64</v>
      </c>
      <c r="C42" s="38" t="s">
        <v>55</v>
      </c>
      <c r="D42" s="39" t="s">
        <v>56</v>
      </c>
      <c r="E42" s="40">
        <v>0.5</v>
      </c>
      <c r="F42" s="22">
        <v>3</v>
      </c>
      <c r="G42" s="41">
        <f t="shared" si="4"/>
        <v>1.5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7.75" customHeight="1" x14ac:dyDescent="0.2">
      <c r="A43" s="1"/>
      <c r="B43" s="38" t="s">
        <v>65</v>
      </c>
      <c r="C43" s="38" t="s">
        <v>55</v>
      </c>
      <c r="D43" s="39" t="s">
        <v>56</v>
      </c>
      <c r="E43" s="40">
        <v>2</v>
      </c>
      <c r="F43" s="22">
        <v>1</v>
      </c>
      <c r="G43" s="41">
        <f t="shared" si="4"/>
        <v>2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7.75" customHeight="1" x14ac:dyDescent="0.2">
      <c r="A44" s="1"/>
      <c r="B44" s="38" t="s">
        <v>66</v>
      </c>
      <c r="C44" s="38" t="s">
        <v>55</v>
      </c>
      <c r="D44" s="39" t="s">
        <v>56</v>
      </c>
      <c r="E44" s="40">
        <v>1</v>
      </c>
      <c r="F44" s="22">
        <v>2</v>
      </c>
      <c r="G44" s="41">
        <f t="shared" si="4"/>
        <v>2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7.75" customHeight="1" x14ac:dyDescent="0.2">
      <c r="A45" s="1"/>
      <c r="B45" s="38" t="s">
        <v>67</v>
      </c>
      <c r="C45" s="38" t="s">
        <v>55</v>
      </c>
      <c r="D45" s="39" t="s">
        <v>56</v>
      </c>
      <c r="E45" s="40">
        <v>1</v>
      </c>
      <c r="F45" s="22">
        <v>4</v>
      </c>
      <c r="G45" s="41">
        <f t="shared" si="4"/>
        <v>4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38" t="s">
        <v>68</v>
      </c>
      <c r="C46" s="38" t="s">
        <v>55</v>
      </c>
      <c r="D46" s="39" t="s">
        <v>56</v>
      </c>
      <c r="E46" s="41">
        <v>1</v>
      </c>
      <c r="F46" s="22">
        <v>3</v>
      </c>
      <c r="G46" s="41">
        <f t="shared" si="4"/>
        <v>3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38" t="s">
        <v>69</v>
      </c>
      <c r="C47" s="38" t="s">
        <v>55</v>
      </c>
      <c r="D47" s="39" t="s">
        <v>56</v>
      </c>
      <c r="E47" s="41">
        <v>1</v>
      </c>
      <c r="F47" s="22">
        <v>2</v>
      </c>
      <c r="G47" s="41">
        <f t="shared" si="4"/>
        <v>2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38" t="s">
        <v>70</v>
      </c>
      <c r="C48" s="38" t="s">
        <v>55</v>
      </c>
      <c r="D48" s="39" t="s">
        <v>56</v>
      </c>
      <c r="E48" s="40">
        <v>1</v>
      </c>
      <c r="F48" s="22">
        <v>2</v>
      </c>
      <c r="G48" s="41">
        <f t="shared" si="4"/>
        <v>2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7.75" customHeight="1" x14ac:dyDescent="0.2">
      <c r="A49" s="1"/>
      <c r="B49" s="67" t="s">
        <v>126</v>
      </c>
      <c r="C49" s="68"/>
      <c r="D49" s="68"/>
      <c r="E49" s="68"/>
      <c r="F49" s="69"/>
      <c r="G49" s="43">
        <f>SUM(G36:G48)</f>
        <v>34.5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7.75" customHeight="1" x14ac:dyDescent="0.2">
      <c r="A50" s="1"/>
      <c r="B50" s="67" t="s">
        <v>127</v>
      </c>
      <c r="C50" s="68"/>
      <c r="D50" s="68"/>
      <c r="E50" s="68"/>
      <c r="F50" s="69"/>
      <c r="G50" s="36">
        <f>0.6+(0.01*G49)</f>
        <v>0.94500000000000006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7.75" customHeight="1" x14ac:dyDescent="0.2">
      <c r="A51" s="1"/>
      <c r="B51" s="27"/>
      <c r="C51" s="3"/>
      <c r="D51" s="3"/>
      <c r="E51" s="3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7.75" customHeight="1" x14ac:dyDescent="0.2">
      <c r="A52" s="1"/>
      <c r="B52" s="44"/>
      <c r="C52" s="44"/>
      <c r="D52" s="45"/>
      <c r="E52" s="44"/>
      <c r="F52" s="44"/>
      <c r="G52" s="44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5" t="s">
        <v>73</v>
      </c>
      <c r="B53" s="17" t="s">
        <v>74</v>
      </c>
      <c r="C53" s="17" t="s">
        <v>75</v>
      </c>
      <c r="D53" s="16" t="s">
        <v>76</v>
      </c>
      <c r="E53" s="16" t="s">
        <v>9</v>
      </c>
      <c r="F53" s="16" t="s">
        <v>51</v>
      </c>
      <c r="G53" s="16" t="s">
        <v>52</v>
      </c>
      <c r="H53" s="1" t="s">
        <v>77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5.75" customHeight="1" x14ac:dyDescent="0.2">
      <c r="A54" s="1"/>
      <c r="B54" s="46" t="s">
        <v>78</v>
      </c>
      <c r="C54" s="38" t="s">
        <v>79</v>
      </c>
      <c r="D54" s="39" t="s">
        <v>56</v>
      </c>
      <c r="E54" s="40">
        <v>1.5</v>
      </c>
      <c r="F54" s="22">
        <v>3</v>
      </c>
      <c r="G54" s="41">
        <f t="shared" ref="G54:G61" si="5">E54*F54</f>
        <v>4.5</v>
      </c>
      <c r="H54" s="42" t="s">
        <v>58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46" t="s">
        <v>80</v>
      </c>
      <c r="C55" s="38" t="s">
        <v>79</v>
      </c>
      <c r="D55" s="39" t="s">
        <v>56</v>
      </c>
      <c r="E55" s="40">
        <v>0.5</v>
      </c>
      <c r="F55" s="22">
        <v>2</v>
      </c>
      <c r="G55" s="41">
        <f t="shared" si="5"/>
        <v>1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46" t="s">
        <v>81</v>
      </c>
      <c r="C56" s="38" t="s">
        <v>79</v>
      </c>
      <c r="D56" s="39" t="s">
        <v>56</v>
      </c>
      <c r="E56" s="40">
        <v>1</v>
      </c>
      <c r="F56" s="22">
        <v>4</v>
      </c>
      <c r="G56" s="41">
        <f t="shared" si="5"/>
        <v>4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46" t="s">
        <v>82</v>
      </c>
      <c r="C57" s="38" t="s">
        <v>79</v>
      </c>
      <c r="D57" s="39" t="s">
        <v>56</v>
      </c>
      <c r="E57" s="40">
        <v>0.5</v>
      </c>
      <c r="F57" s="22">
        <v>3</v>
      </c>
      <c r="G57" s="41">
        <f t="shared" si="5"/>
        <v>1.5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x14ac:dyDescent="0.2">
      <c r="A58" s="1"/>
      <c r="B58" s="46" t="s">
        <v>83</v>
      </c>
      <c r="C58" s="38" t="s">
        <v>84</v>
      </c>
      <c r="D58" s="39" t="s">
        <v>56</v>
      </c>
      <c r="E58" s="40">
        <v>1</v>
      </c>
      <c r="F58" s="22">
        <v>4</v>
      </c>
      <c r="G58" s="41">
        <f t="shared" si="5"/>
        <v>4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46" t="s">
        <v>85</v>
      </c>
      <c r="C59" s="38" t="s">
        <v>86</v>
      </c>
      <c r="D59" s="39" t="s">
        <v>56</v>
      </c>
      <c r="E59" s="40">
        <v>2</v>
      </c>
      <c r="F59" s="22">
        <v>4</v>
      </c>
      <c r="G59" s="41">
        <f t="shared" si="5"/>
        <v>8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46" t="s">
        <v>87</v>
      </c>
      <c r="C60" s="38" t="s">
        <v>88</v>
      </c>
      <c r="D60" s="39" t="s">
        <v>56</v>
      </c>
      <c r="E60" s="40">
        <v>-1</v>
      </c>
      <c r="F60" s="22">
        <v>2</v>
      </c>
      <c r="G60" s="41">
        <f t="shared" si="5"/>
        <v>-2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46" t="s">
        <v>89</v>
      </c>
      <c r="C61" s="38" t="s">
        <v>90</v>
      </c>
      <c r="D61" s="39" t="s">
        <v>56</v>
      </c>
      <c r="E61" s="40">
        <v>-1</v>
      </c>
      <c r="F61" s="22">
        <v>2</v>
      </c>
      <c r="G61" s="41">
        <f t="shared" si="5"/>
        <v>-2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7.75" customHeight="1" x14ac:dyDescent="0.2">
      <c r="A62" s="1"/>
      <c r="B62" s="67" t="s">
        <v>91</v>
      </c>
      <c r="C62" s="68"/>
      <c r="D62" s="68"/>
      <c r="E62" s="68"/>
      <c r="F62" s="69"/>
      <c r="G62" s="16">
        <f>SUM(G54:G61)</f>
        <v>19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7.75" customHeight="1" x14ac:dyDescent="0.2">
      <c r="A63" s="1"/>
      <c r="B63" s="67" t="s">
        <v>128</v>
      </c>
      <c r="C63" s="68"/>
      <c r="D63" s="68"/>
      <c r="E63" s="68"/>
      <c r="F63" s="69"/>
      <c r="G63" s="16">
        <f>1.4 + (-0.03*G62)</f>
        <v>0.83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7.75" customHeight="1" x14ac:dyDescent="0.2">
      <c r="A64" s="1"/>
      <c r="B64" s="25"/>
      <c r="C64" s="47"/>
      <c r="D64" s="48"/>
      <c r="E64" s="47"/>
      <c r="F64" s="49" t="s">
        <v>93</v>
      </c>
      <c r="G64" s="16">
        <f>COUNTIF($F$54:$F$59,"&lt;3")+COUNTIF($F$60:$F$61,"&gt;3")</f>
        <v>1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7.75" customHeight="1" x14ac:dyDescent="0.2">
      <c r="A65" s="1"/>
      <c r="B65" s="27"/>
      <c r="C65" s="3"/>
      <c r="D65" s="3"/>
      <c r="E65" s="3"/>
      <c r="F65" s="3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7.75" customHeight="1" x14ac:dyDescent="0.2">
      <c r="A66" s="1"/>
      <c r="B66" s="1"/>
      <c r="C66" s="1"/>
      <c r="D66" s="2"/>
      <c r="E66" s="3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7.75" customHeight="1" x14ac:dyDescent="0.2">
      <c r="A67" s="15" t="s">
        <v>94</v>
      </c>
      <c r="B67" s="70" t="s">
        <v>129</v>
      </c>
      <c r="C67" s="68"/>
      <c r="D67" s="68"/>
      <c r="E67" s="68"/>
      <c r="F67" s="69"/>
      <c r="G67" s="50">
        <f>F29*G50*G63</f>
        <v>51.767099999999999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7.75" customHeight="1" x14ac:dyDescent="0.2">
      <c r="A68" s="1"/>
      <c r="B68" s="1"/>
      <c r="C68" s="1"/>
      <c r="D68" s="2"/>
      <c r="E68" s="3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7.75" customHeight="1" x14ac:dyDescent="0.2">
      <c r="A69" s="1"/>
      <c r="B69" s="1"/>
      <c r="C69" s="1"/>
      <c r="D69" s="2"/>
      <c r="E69" s="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51" t="s">
        <v>96</v>
      </c>
      <c r="B70" s="17" t="s">
        <v>97</v>
      </c>
      <c r="C70" s="17" t="s">
        <v>98</v>
      </c>
      <c r="D70" s="17" t="s">
        <v>99</v>
      </c>
      <c r="E70" s="3"/>
      <c r="F70" s="1"/>
      <c r="G70" s="17" t="s">
        <v>100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7.75" customHeight="1" x14ac:dyDescent="0.2">
      <c r="A71" s="1"/>
      <c r="B71" s="52">
        <v>20</v>
      </c>
      <c r="C71" s="52">
        <f>IF($G$64&gt;=5,36,IF(AND(G$64&gt;2,$G$64&lt;=4),28, IF(AND($G$64&gt;=0,$G$64&lt;=2),20,"error")))</f>
        <v>20</v>
      </c>
      <c r="D71" s="53">
        <f>IF($G$64&gt;=5,$G$71*(36/20),IF(AND($G$64&gt;2,$G$64&lt;=4),$G$71*(28/20), IF(AND($G$64&gt;=0,$G$64&lt;=2),$G$71,"error")))</f>
        <v>4</v>
      </c>
      <c r="E71" s="3"/>
      <c r="F71" s="1"/>
      <c r="G71" s="54">
        <v>4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7.75" customHeight="1" x14ac:dyDescent="0.2">
      <c r="A72" s="1"/>
      <c r="B72" s="71" t="s">
        <v>101</v>
      </c>
      <c r="C72" s="68"/>
      <c r="D72" s="69"/>
      <c r="E72" s="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7.75" customHeight="1" x14ac:dyDescent="0.2">
      <c r="A73" s="55" t="s">
        <v>102</v>
      </c>
      <c r="B73" s="52">
        <f t="shared" ref="B73:D73" si="6">$G$67*B71</f>
        <v>1035.3420000000001</v>
      </c>
      <c r="C73" s="52">
        <f t="shared" si="6"/>
        <v>1035.3420000000001</v>
      </c>
      <c r="D73" s="52">
        <f t="shared" si="6"/>
        <v>207.0684</v>
      </c>
      <c r="E73" s="3"/>
      <c r="F73" s="1"/>
      <c r="G73" s="17" t="s">
        <v>103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7.75" customHeight="1" x14ac:dyDescent="0.2">
      <c r="A74" s="55" t="s">
        <v>104</v>
      </c>
      <c r="B74" s="56">
        <f t="shared" ref="B74:C74" si="7">B73/(22*8)</f>
        <v>5.8826250000000009</v>
      </c>
      <c r="C74" s="56">
        <f t="shared" si="7"/>
        <v>5.8826250000000009</v>
      </c>
      <c r="D74" s="57">
        <f>D73/(22*G74)</f>
        <v>2.3530500000000001</v>
      </c>
      <c r="E74" s="3"/>
      <c r="F74" s="1"/>
      <c r="G74" s="54">
        <v>4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7.75" customHeight="1" x14ac:dyDescent="0.2">
      <c r="A75" s="1"/>
      <c r="B75" s="1"/>
      <c r="C75" s="1"/>
      <c r="D75" s="2"/>
      <c r="E75" s="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7.75" customHeight="1" x14ac:dyDescent="0.2">
      <c r="A76" s="1"/>
      <c r="B76" s="1"/>
      <c r="C76" s="1"/>
      <c r="D76" s="1"/>
      <c r="E76" s="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7.75" customHeight="1" x14ac:dyDescent="0.2">
      <c r="A77" s="15" t="s">
        <v>105</v>
      </c>
      <c r="B77" s="58" t="s">
        <v>106</v>
      </c>
      <c r="C77" s="59"/>
      <c r="D77" s="48"/>
      <c r="E77" s="47"/>
      <c r="F77" s="60"/>
      <c r="G77" s="60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7.75" customHeight="1" x14ac:dyDescent="0.2">
      <c r="A78" s="1"/>
      <c r="B78" s="37" t="s">
        <v>107</v>
      </c>
      <c r="C78" s="16" t="s">
        <v>108</v>
      </c>
      <c r="D78" s="50" t="s">
        <v>109</v>
      </c>
      <c r="E78" s="50" t="s">
        <v>110</v>
      </c>
      <c r="F78" s="50" t="s">
        <v>111</v>
      </c>
      <c r="G78" s="50" t="s">
        <v>112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7.75" customHeight="1" x14ac:dyDescent="0.2">
      <c r="A79" s="1"/>
      <c r="B79" s="61" t="s">
        <v>113</v>
      </c>
      <c r="C79" s="62">
        <v>0.4</v>
      </c>
      <c r="D79" s="56">
        <f t="shared" ref="D79:F79" si="8">$C79/$C$79*B$74</f>
        <v>5.8826250000000009</v>
      </c>
      <c r="E79" s="56">
        <f t="shared" si="8"/>
        <v>5.8826250000000009</v>
      </c>
      <c r="F79" s="56">
        <f t="shared" si="8"/>
        <v>2.3530500000000001</v>
      </c>
      <c r="G79" s="56">
        <f>D73</f>
        <v>207.0684</v>
      </c>
      <c r="H79" s="1"/>
      <c r="I79" s="1"/>
      <c r="J79" s="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7.75" customHeight="1" x14ac:dyDescent="0.2">
      <c r="A80" s="1"/>
      <c r="B80" s="61" t="s">
        <v>114</v>
      </c>
      <c r="C80" s="62">
        <f>1-C79</f>
        <v>0.6</v>
      </c>
      <c r="D80" s="52">
        <f t="shared" ref="D80:F80" si="9">$C80/$C$79*B$74</f>
        <v>8.8239374999999995</v>
      </c>
      <c r="E80" s="52">
        <f t="shared" si="9"/>
        <v>8.8239374999999995</v>
      </c>
      <c r="F80" s="52">
        <f t="shared" si="9"/>
        <v>3.5295749999999995</v>
      </c>
      <c r="G80" s="52">
        <f>D73*1.5</f>
        <v>310.6026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7.75" customHeight="1" x14ac:dyDescent="0.2">
      <c r="A81" s="1"/>
      <c r="B81" s="63"/>
      <c r="C81" s="62">
        <f>SUM(C79:C80)</f>
        <v>1</v>
      </c>
      <c r="D81" s="56">
        <f t="shared" ref="D81:F81" si="10">$C81/$C$79*B$74</f>
        <v>14.706562500000002</v>
      </c>
      <c r="E81" s="56">
        <f t="shared" si="10"/>
        <v>14.706562500000002</v>
      </c>
      <c r="F81" s="56">
        <f t="shared" si="10"/>
        <v>5.882625</v>
      </c>
      <c r="G81" s="56">
        <f>G79+G80</f>
        <v>517.67100000000005</v>
      </c>
      <c r="H81" s="1"/>
      <c r="I81" s="1"/>
      <c r="J81" s="15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7.75" customHeight="1" x14ac:dyDescent="0.2">
      <c r="A82" s="1"/>
      <c r="B82" s="1"/>
      <c r="C82" s="1"/>
      <c r="D82" s="2"/>
      <c r="E82" s="3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7.75" customHeight="1" x14ac:dyDescent="0.2">
      <c r="A83" s="15" t="s">
        <v>115</v>
      </c>
      <c r="B83" s="22">
        <v>4</v>
      </c>
      <c r="C83" s="1"/>
      <c r="D83" s="2"/>
      <c r="E83" s="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7.75" customHeight="1" x14ac:dyDescent="0.2">
      <c r="A84" s="1"/>
      <c r="B84" s="1"/>
      <c r="C84" s="1"/>
      <c r="D84" s="2"/>
      <c r="E84" s="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7.75" customHeight="1" x14ac:dyDescent="0.2">
      <c r="A85" s="15" t="s">
        <v>116</v>
      </c>
      <c r="B85" s="50" t="s">
        <v>117</v>
      </c>
      <c r="C85" s="50" t="s">
        <v>118</v>
      </c>
      <c r="D85" s="50" t="s">
        <v>119</v>
      </c>
      <c r="E85" s="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7.75" customHeight="1" x14ac:dyDescent="0.2">
      <c r="A86" s="64"/>
      <c r="B86" s="65">
        <f>$D$81/$B$83</f>
        <v>3.6766406250000006</v>
      </c>
      <c r="C86" s="65">
        <f>$E$81/$B$83</f>
        <v>3.6766406250000006</v>
      </c>
      <c r="D86" s="65">
        <f>$F$81/$B$83</f>
        <v>1.47065625</v>
      </c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 spans="1:26" ht="15.75" customHeight="1" x14ac:dyDescent="0.2">
      <c r="A87" s="64"/>
      <c r="B87" s="64"/>
      <c r="C87" s="64"/>
      <c r="D87" s="64"/>
      <c r="E87" s="66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 spans="1:26" ht="15.75" customHeight="1" x14ac:dyDescent="0.2">
      <c r="A88" s="64"/>
      <c r="B88" s="64"/>
      <c r="C88" s="64"/>
      <c r="D88" s="64"/>
      <c r="E88" s="66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 spans="1:26" ht="15.75" customHeight="1" x14ac:dyDescent="0.2">
      <c r="A89" s="76" t="s">
        <v>130</v>
      </c>
      <c r="B89" s="77" t="s">
        <v>131</v>
      </c>
      <c r="C89" s="77" t="s">
        <v>131</v>
      </c>
      <c r="D89" s="78" t="s">
        <v>131</v>
      </c>
      <c r="E89" s="79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</row>
    <row r="90" spans="1:26" ht="15.75" customHeight="1" x14ac:dyDescent="0.2">
      <c r="A90" s="81">
        <v>45957</v>
      </c>
      <c r="B90" s="82">
        <f>EDATE(A90,INT(B86)) + (B86-INT(B86))*DAY(EDATE(A90,INT(B86)+1)-EDATE(A90,INT(B86)))</f>
        <v>46069.975859375001</v>
      </c>
      <c r="C90" s="82">
        <f>EDATE(A90,INT(C86)) + (C86-INT(C86))*DAY(EDATE(A90,INT(C86)+1)-EDATE(A90,INT(C86)))</f>
        <v>46069.975859375001</v>
      </c>
      <c r="D90" s="82">
        <f>EDATE(A90,INT(D86)) + (D86-INT(D86))*DAY(EDATE(A90,INT(D86)+1)-EDATE(A90,INT(D86)))</f>
        <v>46002.119687500002</v>
      </c>
      <c r="E90" s="79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</row>
    <row r="91" spans="1:26" ht="15.75" customHeight="1" x14ac:dyDescent="0.2">
      <c r="A91" s="64"/>
      <c r="B91" s="64"/>
      <c r="C91" s="64"/>
      <c r="D91" s="64"/>
      <c r="E91" s="66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 spans="1:26" ht="15.75" customHeight="1" x14ac:dyDescent="0.2">
      <c r="A92" s="64"/>
      <c r="B92" s="64"/>
      <c r="C92" s="64"/>
      <c r="D92" s="64"/>
      <c r="E92" s="66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 spans="1:26" ht="15.75" customHeight="1" x14ac:dyDescent="0.2">
      <c r="A93" s="64"/>
      <c r="B93" s="64"/>
      <c r="C93" s="64"/>
      <c r="D93" s="64"/>
      <c r="E93" s="66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 spans="1:26" ht="15.75" customHeight="1" x14ac:dyDescent="0.2">
      <c r="A94" s="64"/>
      <c r="B94" s="64"/>
      <c r="C94" s="64"/>
      <c r="D94" s="64"/>
      <c r="E94" s="66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 spans="1:26" ht="15.75" customHeight="1" x14ac:dyDescent="0.2">
      <c r="A95" s="64"/>
      <c r="B95" s="64"/>
      <c r="C95" s="64"/>
      <c r="D95" s="64"/>
      <c r="E95" s="66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 spans="1:26" ht="15.75" customHeight="1" x14ac:dyDescent="0.2">
      <c r="A96" s="64"/>
      <c r="B96" s="64"/>
      <c r="C96" s="64"/>
      <c r="D96" s="64"/>
      <c r="E96" s="66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 spans="1:26" ht="15.75" customHeight="1" x14ac:dyDescent="0.2">
      <c r="A97" s="64"/>
      <c r="B97" s="64"/>
      <c r="C97" s="64"/>
      <c r="D97" s="64"/>
      <c r="E97" s="66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 spans="1:26" ht="15.75" customHeight="1" x14ac:dyDescent="0.2">
      <c r="A98" s="64"/>
      <c r="B98" s="64"/>
      <c r="C98" s="64"/>
      <c r="D98" s="64"/>
      <c r="E98" s="66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</row>
    <row r="99" spans="1:26" ht="15.75" customHeight="1" x14ac:dyDescent="0.2">
      <c r="A99" s="64"/>
      <c r="B99" s="64"/>
      <c r="C99" s="64"/>
      <c r="D99" s="64"/>
      <c r="E99" s="66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</row>
    <row r="100" spans="1:26" ht="15.75" customHeight="1" x14ac:dyDescent="0.2">
      <c r="A100" s="64"/>
      <c r="B100" s="64"/>
      <c r="C100" s="64"/>
      <c r="D100" s="64"/>
      <c r="E100" s="66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</row>
    <row r="101" spans="1:26" ht="15.75" customHeight="1" x14ac:dyDescent="0.2">
      <c r="A101" s="64"/>
      <c r="B101" s="64"/>
      <c r="C101" s="64"/>
      <c r="D101" s="64"/>
      <c r="E101" s="66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</row>
    <row r="102" spans="1:26" ht="15.75" customHeight="1" x14ac:dyDescent="0.2">
      <c r="A102" s="64"/>
      <c r="B102" s="64"/>
      <c r="C102" s="64"/>
      <c r="D102" s="64"/>
      <c r="E102" s="66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</row>
    <row r="103" spans="1:26" ht="15.75" customHeight="1" x14ac:dyDescent="0.2">
      <c r="A103" s="1"/>
      <c r="B103" s="1"/>
      <c r="C103" s="1"/>
      <c r="D103" s="2"/>
      <c r="E103" s="3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2"/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2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2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2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2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2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2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2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2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2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2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2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2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2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2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2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2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2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2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2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2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2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2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2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2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2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2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2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2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2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2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2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2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2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2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2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2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2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2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2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2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2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2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2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2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2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2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2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2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2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2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2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2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2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2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2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2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2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2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2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2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2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2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2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2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2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2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2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2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2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2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2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2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2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2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2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2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2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2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2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2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2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2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2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2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2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2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2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2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2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2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2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2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2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2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2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2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2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2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2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2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2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2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2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2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2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2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2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2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2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2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2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2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2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2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2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2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2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2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2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2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2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2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2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2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2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2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2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2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2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2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2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2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2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2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2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2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2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2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2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2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2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2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2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2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2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2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2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2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2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2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2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2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2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2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2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2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2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2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2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2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2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2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2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2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2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2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2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2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2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2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2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2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2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2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2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2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2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2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2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2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2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2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2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2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2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2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2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2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2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2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2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2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2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2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2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2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2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2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2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2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2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2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2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2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2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2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2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2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2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2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2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2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2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2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2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2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2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2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2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2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2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2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2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2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2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2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2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2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2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2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2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2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2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2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2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2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2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2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2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2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2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2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2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2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2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2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2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2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2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2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2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2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2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2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2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2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2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2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2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2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2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2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2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2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2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2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2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2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2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2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2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2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2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2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2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2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2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2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2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2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2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2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2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2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2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2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2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2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2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2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2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2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2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2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2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2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2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2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2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2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2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2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2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2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2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2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2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2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2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2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2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2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2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2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2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2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2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2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2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2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2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2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2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2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2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2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2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2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2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2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2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2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2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2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2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2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2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2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2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2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2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2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2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2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2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2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2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2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2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2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2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2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2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2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2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2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2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2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2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2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2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2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2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2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2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2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2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2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2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2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2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2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2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2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2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2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2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2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2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2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2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2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2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2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2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2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2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2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2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2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2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2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2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2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2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2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2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2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2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2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2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2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2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2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2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2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2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2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2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2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2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2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2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2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2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2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2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2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2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2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2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2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2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2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2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2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2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2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2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2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2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2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2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2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2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2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2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2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2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2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2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2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2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2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2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2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2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2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2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2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2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2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2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2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2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2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2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2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2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2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2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2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2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2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2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2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2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2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2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2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2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2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2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2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2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2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2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2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2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2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2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2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2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2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2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2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2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2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2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2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2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2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2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2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2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2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2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2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2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2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2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2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2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2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2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2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2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2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2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2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2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2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2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2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2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2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2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2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2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2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2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2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2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2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2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2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2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2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2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2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2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2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2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2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2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2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2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2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2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2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2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2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2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2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2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2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2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2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2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2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2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2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2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2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2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2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2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2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2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2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2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2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2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2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2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2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2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2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2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2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2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2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2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2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2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2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2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2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2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2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2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2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2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2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2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2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2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2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2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2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2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2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2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2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2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2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2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2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2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2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2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2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2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2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2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2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2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2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2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2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2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2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2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2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2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2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2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2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2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2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2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2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2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2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2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2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2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2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2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2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2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2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2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2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2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2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2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2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2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2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2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2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2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2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2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2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2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2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2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2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2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2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2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2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2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2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2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2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2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2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2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2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2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2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2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2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2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2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2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2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2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2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2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2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2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2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2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2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2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2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2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2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2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2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2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2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2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2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2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2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2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2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2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2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2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2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2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2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2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2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2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2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2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2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2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2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2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2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2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2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2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2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2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2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2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2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2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2"/>
      <c r="E951" s="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2"/>
      <c r="E952" s="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2"/>
      <c r="E953" s="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2"/>
      <c r="E954" s="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2"/>
      <c r="E955" s="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2"/>
      <c r="E956" s="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2"/>
      <c r="E957" s="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2"/>
      <c r="E958" s="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2"/>
      <c r="E959" s="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2"/>
      <c r="E960" s="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2"/>
      <c r="E961" s="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2"/>
      <c r="E962" s="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2"/>
      <c r="E963" s="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2"/>
      <c r="E964" s="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2"/>
      <c r="E965" s="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2"/>
      <c r="E966" s="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2"/>
      <c r="E967" s="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2"/>
      <c r="E968" s="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2"/>
      <c r="E969" s="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2"/>
      <c r="E970" s="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2"/>
      <c r="E971" s="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2"/>
      <c r="E972" s="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2"/>
      <c r="E973" s="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2"/>
      <c r="E974" s="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2"/>
      <c r="E975" s="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2"/>
      <c r="E976" s="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2"/>
      <c r="E977" s="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2"/>
      <c r="E978" s="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2"/>
      <c r="E979" s="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2"/>
      <c r="E980" s="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2"/>
      <c r="E981" s="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2"/>
      <c r="E982" s="3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2"/>
      <c r="E983" s="3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2"/>
      <c r="E984" s="3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2"/>
      <c r="E985" s="3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2"/>
      <c r="E986" s="3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2"/>
      <c r="E987" s="3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2"/>
      <c r="E988" s="3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2"/>
      <c r="E989" s="3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2"/>
      <c r="E990" s="3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2"/>
      <c r="E991" s="3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2"/>
      <c r="E992" s="3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2"/>
      <c r="E993" s="3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2"/>
      <c r="E994" s="3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2"/>
      <c r="E995" s="3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2"/>
      <c r="E996" s="3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2"/>
      <c r="E997" s="3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2"/>
      <c r="E998" s="3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2"/>
      <c r="E999" s="3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2"/>
      <c r="E1000" s="3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2">
      <c r="A1001" s="1"/>
      <c r="B1001" s="1"/>
      <c r="C1001" s="1"/>
      <c r="D1001" s="2"/>
      <c r="E1001" s="3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2">
      <c r="A1002" s="1"/>
      <c r="B1002" s="1"/>
      <c r="C1002" s="1"/>
      <c r="D1002" s="2"/>
      <c r="E1002" s="3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2">
      <c r="A1003" s="1"/>
      <c r="B1003" s="1"/>
      <c r="C1003" s="1"/>
      <c r="D1003" s="2"/>
      <c r="E1003" s="3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 x14ac:dyDescent="0.2">
      <c r="A1004" s="1"/>
      <c r="B1004" s="1"/>
      <c r="C1004" s="1"/>
      <c r="D1004" s="2"/>
      <c r="E1004" s="3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 x14ac:dyDescent="0.2">
      <c r="A1005" s="1"/>
      <c r="B1005" s="1"/>
      <c r="C1005" s="1"/>
      <c r="D1005" s="2"/>
      <c r="E1005" s="3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 x14ac:dyDescent="0.2">
      <c r="A1006" s="1"/>
      <c r="B1006" s="1"/>
      <c r="C1006" s="1"/>
      <c r="D1006" s="2"/>
      <c r="E1006" s="3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 x14ac:dyDescent="0.2">
      <c r="A1007" s="1"/>
      <c r="B1007" s="1"/>
      <c r="C1007" s="1"/>
      <c r="D1007" s="2"/>
      <c r="E1007" s="3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</sheetData>
  <mergeCells count="10">
    <mergeCell ref="B63:F63"/>
    <mergeCell ref="B67:F67"/>
    <mergeCell ref="B72:D72"/>
    <mergeCell ref="B2:G2"/>
    <mergeCell ref="C13:F13"/>
    <mergeCell ref="C25:E25"/>
    <mergeCell ref="C29:E29"/>
    <mergeCell ref="B49:F49"/>
    <mergeCell ref="B50:F50"/>
    <mergeCell ref="B62:F62"/>
  </mergeCells>
  <dataValidations count="2">
    <dataValidation type="list" allowBlank="1" showErrorMessage="1" sqref="C8:C12" xr:uid="{00000000-0002-0000-0200-000000000000}">
      <formula1>"Simple,Intermedio,Complejo"</formula1>
    </dataValidation>
    <dataValidation type="decimal" allowBlank="1" showInputMessage="1" showErrorMessage="1" prompt="Entre 1 y 9 personas." sqref="B83" xr:uid="{00000000-0002-0000-0200-000001000000}">
      <formula1>1</formula1>
      <formula2>9</formula2>
    </dataValidation>
  </dataValidations>
  <hyperlinks>
    <hyperlink ref="H36" r:id="rId1" location="v=onepage&amp;q=e7%20part-time%20members&amp;f=false" xr:uid="{00000000-0004-0000-0200-000000000000}"/>
    <hyperlink ref="H54" r:id="rId2" location="v=onepage&amp;q=e7%20part-time%20members&amp;f=false" xr:uid="{00000000-0004-0000-0200-000001000000}"/>
  </hyperlinks>
  <pageMargins left="0.75" right="0.75" top="1" bottom="1" header="0" footer="0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Caso Probable</vt:lpstr>
      <vt:lpstr>Peor Caso</vt:lpstr>
      <vt:lpstr>Mejor Caso</vt:lpstr>
      <vt:lpstr>'Caso Probable'!solver_opt</vt:lpstr>
      <vt:lpstr>'Mejor Caso'!solver_opt</vt:lpstr>
      <vt:lpstr>'Peor Caso'!solver_opt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Cristian Carranza</cp:lastModifiedBy>
  <dcterms:created xsi:type="dcterms:W3CDTF">2021-09-16T15:20:38Z</dcterms:created>
  <dcterms:modified xsi:type="dcterms:W3CDTF">2025-10-31T14:18:52Z</dcterms:modified>
</cp:coreProperties>
</file>