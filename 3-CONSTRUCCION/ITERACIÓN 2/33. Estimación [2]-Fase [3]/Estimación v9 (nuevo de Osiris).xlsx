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a Estimacion\Ref\"/>
    </mc:Choice>
  </mc:AlternateContent>
  <bookViews>
    <workbookView xWindow="0" yWindow="0" windowWidth="28800" windowHeight="12210"/>
  </bookViews>
  <sheets>
    <sheet name="Plantilla" sheetId="1" r:id="rId1"/>
  </sheets>
  <definedNames>
    <definedName name="solver_eng" localSheetId="0">1</definedName>
    <definedName name="solver_neg" localSheetId="0">1</definedName>
    <definedName name="solver_num" localSheetId="0">0</definedName>
    <definedName name="solver_opt" localSheetId="0">Plantilla!$D$66</definedName>
    <definedName name="solver_typ" localSheetId="0">1</definedName>
    <definedName name="solver_val" localSheetId="0">0</definedName>
    <definedName name="solver_ver" localSheetId="0">3</definedName>
  </definedNames>
  <calcPr calcId="162913"/>
  <extLst>
    <ext uri="GoogleSheetsCustomDataVersion2">
      <go:sheetsCustomData xmlns:go="http://customooxmlschemas.google.com/" r:id="rId5" roundtripDataChecksum="+s54X7NFLcJJ76RGdM6YaLKO1pFzKsOQgwQ7eQmZd6U="/>
    </ext>
  </extLst>
</workbook>
</file>

<file path=xl/calcChain.xml><?xml version="1.0" encoding="utf-8"?>
<calcChain xmlns="http://schemas.openxmlformats.org/spreadsheetml/2006/main">
  <c r="B68" i="1" l="1"/>
  <c r="B69" i="1"/>
  <c r="D80" i="1" s="1"/>
  <c r="F76" i="1"/>
  <c r="E76" i="1"/>
  <c r="F75" i="1"/>
  <c r="E75" i="1"/>
  <c r="F74" i="1"/>
  <c r="E74" i="1"/>
  <c r="D74" i="1"/>
  <c r="C75" i="1"/>
  <c r="D75" i="1" l="1"/>
  <c r="D76" i="1" s="1"/>
  <c r="C76" i="1"/>
  <c r="C81" i="1"/>
  <c r="G59" i="1"/>
  <c r="D66" i="1" s="1"/>
  <c r="G56" i="1"/>
  <c r="G55" i="1"/>
  <c r="G54" i="1"/>
  <c r="G53" i="1"/>
  <c r="G52" i="1"/>
  <c r="G51" i="1"/>
  <c r="G50" i="1"/>
  <c r="G49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F23" i="1"/>
  <c r="E23" i="1"/>
  <c r="F22" i="1"/>
  <c r="E22" i="1"/>
  <c r="F21" i="1"/>
  <c r="E21" i="1"/>
  <c r="F20" i="1"/>
  <c r="E20" i="1"/>
  <c r="F19" i="1"/>
  <c r="E19" i="1"/>
  <c r="F18" i="1"/>
  <c r="E18" i="1"/>
  <c r="E13" i="1"/>
  <c r="G13" i="1" s="1"/>
  <c r="E12" i="1"/>
  <c r="G12" i="1" s="1"/>
  <c r="E11" i="1"/>
  <c r="G11" i="1" s="1"/>
  <c r="E10" i="1"/>
  <c r="G10" i="1" s="1"/>
  <c r="G57" i="1" l="1"/>
  <c r="G58" i="1" s="1"/>
  <c r="G14" i="1"/>
  <c r="G44" i="1"/>
  <c r="G45" i="1" s="1"/>
  <c r="F24" i="1"/>
  <c r="C82" i="1"/>
  <c r="C66" i="1"/>
  <c r="F27" i="1" l="1"/>
  <c r="G62" i="1" s="1"/>
  <c r="C68" i="1" s="1"/>
  <c r="C69" i="1" s="1"/>
  <c r="E80" i="1" l="1"/>
  <c r="E82" i="1"/>
  <c r="C87" i="1" s="1"/>
  <c r="C90" i="1" s="1"/>
  <c r="E81" i="1"/>
  <c r="D68" i="1"/>
  <c r="D69" i="1" s="1"/>
  <c r="F82" i="1" l="1"/>
  <c r="D87" i="1" s="1"/>
  <c r="D90" i="1" s="1"/>
  <c r="F81" i="1"/>
  <c r="F80" i="1"/>
  <c r="D81" i="1" l="1"/>
  <c r="D82" i="1"/>
  <c r="B87" i="1" s="1"/>
  <c r="B90" i="1" s="1"/>
</calcChain>
</file>

<file path=xl/comments1.xml><?xml version="1.0" encoding="utf-8"?>
<comments xmlns="http://schemas.openxmlformats.org/spreadsheetml/2006/main">
  <authors>
    <author/>
    <author>Usuario</author>
  </authors>
  <commentList>
    <comment ref="C9" authorId="0" shapeId="0">
      <text>
        <r>
          <rPr>
            <sz val="10"/>
            <color rgb="FF000000"/>
            <rFont val="Arial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7" authorId="0" shapeId="0">
      <text>
        <r>
          <rPr>
            <sz val="10"/>
            <color rgb="FF000000"/>
            <rFont val="Arial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1" authorId="0" shapeId="0">
      <text>
        <r>
          <rPr>
            <sz val="10"/>
            <color rgb="FF000000"/>
            <rFont val="Arial"/>
            <scheme val="minor"/>
          </rPr>
          <t>======
ID#AAAA4EXGEXg
Autor    (2023-08-29 20:18:46)
¿Arquitectura centralizada o distribuida?</t>
        </r>
      </text>
    </comment>
    <comment ref="B32" authorId="0" shapeId="0">
      <text>
        <r>
          <rPr>
            <sz val="10"/>
            <color rgb="FF000000"/>
            <rFont val="Arial"/>
            <scheme val="minor"/>
          </rPr>
          <t>======
ID#AAAA4EXGEYo
Autor    (2023-08-29 20:18:46)
¿Cuál es la importancia del tiempo de respuesta de la aplicación para el usuario final?</t>
        </r>
      </text>
    </comment>
    <comment ref="B33" authorId="0" shapeId="0">
      <text>
        <r>
          <rPr>
            <sz val="10"/>
            <color rgb="FF000000"/>
            <rFont val="Arial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34" authorId="0" shapeId="0">
      <text>
        <r>
          <rPr>
            <sz val="10"/>
            <color rgb="FF000000"/>
            <rFont val="Arial"/>
            <scheme val="minor"/>
          </rPr>
          <t>======
ID#AAAA4EXGEXQ
Autor    (2023-08-29 20:18:46)
¿La aplicación requiere de algoritmos complejos?</t>
        </r>
      </text>
    </comment>
    <comment ref="B35" authorId="0" shapeId="0">
      <text>
        <r>
          <rPr>
            <sz val="10"/>
            <color rgb="FF000000"/>
            <rFont val="Arial"/>
            <scheme val="minor"/>
          </rPr>
          <t>======
ID#AAAA4EXGEYQ
Autor    (2023-08-29 20:18:46)
¿La aplicación requiere diseñarse para ser altamente reusable?</t>
        </r>
      </text>
    </comment>
    <comment ref="B36" authorId="0" shapeId="0">
      <text>
        <r>
          <rPr>
            <sz val="10"/>
            <color rgb="FF000000"/>
            <rFont val="Arial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37" authorId="0" shapeId="0">
      <text>
        <r>
          <rPr>
            <sz val="10"/>
            <color rgb="FF000000"/>
            <rFont val="Arial"/>
            <scheme val="minor"/>
          </rPr>
          <t>======
ID#AAAA4EXGEYY
Autor    (2023-08-29 20:18:46)
¿Hay requerimientos especiales respecto de la facilidad de uso?</t>
        </r>
      </text>
    </comment>
    <comment ref="B38" authorId="0" shapeId="0">
      <text>
        <r>
          <rPr>
            <sz val="10"/>
            <color rgb="FF000000"/>
            <rFont val="Arial"/>
            <scheme val="minor"/>
          </rPr>
          <t>======
ID#AAAA4EXGEYw
Autor    (2023-08-29 20:18:46)
¿La aplicación, debe funcionar en más de una plataforma?</t>
        </r>
      </text>
    </comment>
    <comment ref="B39" authorId="0" shapeId="0">
      <text>
        <r>
          <rPr>
            <sz val="10"/>
            <color rgb="FF000000"/>
            <rFont val="Arial"/>
            <scheme val="minor"/>
          </rPr>
          <t>======
ID#AAAA4EXGEYg
Autor    (2023-08-29 20:18:46)
¿El cliente requiere que la aplicación se pueda cambiar fácilmente en el futuro?</t>
        </r>
      </text>
    </comment>
    <comment ref="B40" authorId="0" shapeId="0">
      <text>
        <r>
          <rPr>
            <sz val="10"/>
            <color rgb="FF000000"/>
            <rFont val="Arial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1" authorId="0" shapeId="0">
      <text>
        <r>
          <rPr>
            <sz val="10"/>
            <color rgb="FF000000"/>
            <rFont val="Arial"/>
            <scheme val="minor"/>
          </rPr>
          <t>======
ID#AAAA4EXGEXs
Autor    (2023-08-29 20:18:46)
¿Es suficiente con las prestaciones de seguridad normales, o hace falta algo especial?</t>
        </r>
      </text>
    </comment>
    <comment ref="B42" authorId="0" shapeId="0">
      <text>
        <r>
          <rPr>
            <sz val="10"/>
            <color rgb="FF000000"/>
            <rFont val="Arial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3" authorId="0" shapeId="0">
      <text>
        <r>
          <rPr>
            <sz val="10"/>
            <color rgb="FF000000"/>
            <rFont val="Arial"/>
            <scheme val="minor"/>
          </rPr>
          <t>======
ID#AAAA4EXGEYs
Autor    (2023-08-29 20:18:46)
¿Se requiere formación específica para los Usuarios?</t>
        </r>
      </text>
    </comment>
    <comment ref="B49" authorId="0" shapeId="0">
      <text>
        <r>
          <rPr>
            <sz val="10"/>
            <color rgb="FF000000"/>
            <rFont val="Arial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50" authorId="0" shapeId="0">
      <text>
        <r>
          <rPr>
            <sz val="10"/>
            <color rgb="FF000000"/>
            <rFont val="Arial"/>
            <scheme val="minor"/>
          </rPr>
          <t>======
ID#AAAA4EXGEX8
Autor    (2023-08-29 20:18:46)
¿Ya trabajado el equipo en el area (dominio) de la aplicación?</t>
        </r>
      </text>
    </comment>
    <comment ref="B51" authorId="0" shapeId="0">
      <text>
        <r>
          <rPr>
            <sz val="10"/>
            <color rgb="FF000000"/>
            <rFont val="Arial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2" authorId="0" shapeId="0">
      <text>
        <r>
          <rPr>
            <sz val="10"/>
            <color rgb="FF000000"/>
            <rFont val="Arial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3" authorId="0" shapeId="0">
      <text>
        <r>
          <rPr>
            <sz val="10"/>
            <color rgb="FF000000"/>
            <rFont val="Arial"/>
            <scheme val="minor"/>
          </rPr>
          <t>======
ID#AAAA4EXGEXo
Autor    (2023-08-29 20:18:46)
Motivación del equipo.</t>
        </r>
      </text>
    </comment>
    <comment ref="B54" authorId="0" shapeId="0">
      <text>
        <r>
          <rPr>
            <sz val="10"/>
            <color rgb="FF000000"/>
            <rFont val="Arial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55" authorId="0" shapeId="0">
      <text>
        <r>
          <rPr>
            <sz val="10"/>
            <color rgb="FF000000"/>
            <rFont val="Arial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56" authorId="0" shapeId="0">
      <text>
        <r>
          <rPr>
            <sz val="10"/>
            <color rgb="FF000000"/>
            <rFont val="Arial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66" authorId="0" shapeId="0">
      <text>
        <r>
          <rPr>
            <sz val="10"/>
            <color rgb="FF000000"/>
            <rFont val="Arial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69" authorId="1" shapeId="0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Para el caso clásico se contempla una dedicación promedio por integrante de 8hs diarias</t>
        </r>
      </text>
    </comment>
    <comment ref="C69" authorId="1" shapeId="0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Para el caso clásico se contempla una dedicación promedio por integrante de 8hs diarias</t>
        </r>
      </text>
    </comment>
    <comment ref="G69" authorId="1" shapeId="0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Indicar la dedicación promedio diaria por integrante REAL del equipo</t>
        </r>
      </text>
    </comment>
    <comment ref="B72" authorId="0" shapeId="0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75" authorId="0" shapeId="0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78" authorId="0" shapeId="0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1" authorId="0" shapeId="0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84" authorId="0" shapeId="0">
      <text>
        <r>
          <rPr>
            <sz val="10"/>
            <color rgb="FF000000"/>
            <rFont val="Arial"/>
            <scheme val="minor"/>
          </rPr>
          <t>======
ID#AAAA4EXGEX0
Autor    (2023-08-29 20:18:46)
Lo debe sugerir el estimador.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RtrpRPhskmwylDfdNk2hbXE5dg=="/>
    </ext>
  </extLst>
</comments>
</file>

<file path=xl/sharedStrings.xml><?xml version="1.0" encoding="utf-8"?>
<sst xmlns="http://schemas.openxmlformats.org/spreadsheetml/2006/main" count="170" uniqueCount="122">
  <si>
    <t>ESTIMACIÓN por PUNTOS de CASO de USO</t>
  </si>
  <si>
    <t>Proyecto:</t>
  </si>
  <si>
    <t>MiProyecto</t>
  </si>
  <si>
    <t>Gestor de Proyecto:</t>
  </si>
  <si>
    <t>MiNombre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</si>
  <si>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</si>
  <si>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</si>
  <si>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</si>
  <si>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</si>
  <si>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</si>
  <si>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</si>
  <si>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</si>
  <si>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Cajero</t>
  </si>
  <si>
    <t>Complejo</t>
  </si>
  <si>
    <t>El operador que …</t>
  </si>
  <si>
    <t xml:space="preserve">BDD </t>
  </si>
  <si>
    <t>Intermedio</t>
  </si>
  <si>
    <t>BDD que …</t>
  </si>
  <si>
    <t>Programa1</t>
  </si>
  <si>
    <t>Simple</t>
  </si>
  <si>
    <t>Programa externo integrado … plug-in</t>
  </si>
  <si>
    <t>Programa2</t>
  </si>
  <si>
    <t>Programa externo integrado …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</si>
  <si>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</si>
  <si>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</si>
  <si>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</si>
  <si>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</si>
  <si>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</si>
  <si>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</si>
  <si>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CU1:  Validar PIN</t>
  </si>
  <si>
    <t>1-2, 2a</t>
  </si>
  <si>
    <t>CU2: Seleccionar Servicio</t>
  </si>
  <si>
    <t>1, 1a, 1b, 1c</t>
  </si>
  <si>
    <t>CU3</t>
  </si>
  <si>
    <t>CU4</t>
  </si>
  <si>
    <t>CU5</t>
  </si>
  <si>
    <t>CU6</t>
  </si>
  <si>
    <t xml:space="preserve">Peso Total CU, sin ajustar (UUCW) </t>
  </si>
  <si>
    <t>3. PCU SIN AJUSTE</t>
  </si>
  <si>
    <r>
      <rPr>
        <b/>
        <sz val="12"/>
        <color theme="1"/>
        <rFont val="Calibri"/>
        <family val="2"/>
      </rPr>
      <t xml:space="preserve">Puntos de CU No Ajustados: </t>
    </r>
    <r>
      <rPr>
        <b/>
        <sz val="12"/>
        <color rgb="FFFF0000"/>
        <rFont val="Calibri"/>
        <family val="2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</si>
  <si>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</si>
  <si>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</si>
  <si>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</si>
  <si>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</si>
  <si>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</si>
  <si>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</si>
  <si>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</si>
  <si>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</si>
  <si>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</si>
  <si>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¡Describir!</t>
  </si>
  <si>
    <t>Object-Oriented Analysis and Design for Information Systems: Modeling with UML, OCL, and IFML</t>
  </si>
  <si>
    <t>T2  Objetivos de Desempeño o Tiempo de Respuesta</t>
  </si>
  <si>
    <t>T3  Eficiencia Usuario Final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</si>
  <si>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</si>
  <si>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</si>
  <si>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</si>
  <si>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</si>
  <si>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</si>
  <si>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</si>
  <si>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</si>
  <si>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</si>
  <si>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Acceso Directo a Código de Terceros</t>
  </si>
  <si>
    <t>T13 Necesidades de formación para los Usuarios</t>
  </si>
  <si>
    <r>
      <rPr>
        <b/>
        <sz val="12"/>
        <color theme="1"/>
        <rFont val="Calibri"/>
        <family val="2"/>
      </rPr>
      <t xml:space="preserve">Factores Técnicos: TF = </t>
    </r>
    <r>
      <rPr>
        <b/>
        <sz val="12"/>
        <color theme="1"/>
        <rFont val="Calibri"/>
        <family val="2"/>
      </rPr>
      <t xml:space="preserve">∑ </t>
    </r>
    <r>
      <rPr>
        <b/>
        <sz val="12"/>
        <color theme="1"/>
        <rFont val="Calibri"/>
        <family val="2"/>
      </rPr>
      <t xml:space="preserve">(Peso * Evaluacion ) </t>
    </r>
  </si>
  <si>
    <r>
      <rPr>
        <b/>
        <sz val="12"/>
        <color theme="1"/>
        <rFont val="Calibri"/>
        <family val="2"/>
      </rPr>
      <t xml:space="preserve">Factor de Complejidad Técnica:  </t>
    </r>
    <r>
      <rPr>
        <b/>
        <sz val="12"/>
        <color rgb="FFFF0000"/>
        <rFont val="Calibri"/>
        <family val="2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</si>
  <si>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</si>
  <si>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</si>
  <si>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</si>
  <si>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</si>
  <si>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</si>
  <si>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</si>
  <si>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</si>
  <si>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E2 Experiencia en el Dominio de Aplicación</t>
  </si>
  <si>
    <t>E3 Experiencia en Orientación a Objetos</t>
  </si>
  <si>
    <t>E4 Capacidad de Liderazgo del  Analista Principal</t>
  </si>
  <si>
    <t>E5 Motivación</t>
  </si>
  <si>
    <t>0=sin, 3=media, 5=alta</t>
  </si>
  <si>
    <t>E6 Requerimientos Estables</t>
  </si>
  <si>
    <t>0=extremadamente inestable, 5=no cambian</t>
  </si>
  <si>
    <t>E7 Miembros a Tiempo Parcial</t>
  </si>
  <si>
    <t>0=0% tiempo parcial, 1=h/10% t. parcial, 2=h/20% t. parcial, 3=h/40% t. parcial, 4=h/60% t. parcial, 5= más de 60% t.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</si>
  <si>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</si>
  <si>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</si>
  <si>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 xml:space="preserve">Factores Ambientales: EF = ∑ (Peso * Evaluacion ) </t>
  </si>
  <si>
    <r>
      <rPr>
        <b/>
        <sz val="12"/>
        <color theme="1"/>
        <rFont val="Calibri"/>
        <family val="2"/>
      </rPr>
      <t xml:space="preserve">Factor de Complejidad Ambiental: </t>
    </r>
    <r>
      <rPr>
        <b/>
        <sz val="12"/>
        <color rgb="FFFF0000"/>
        <rFont val="Calibri"/>
        <family val="2"/>
      </rPr>
      <t>ECF = 1.4 + (-0.03*EF)</t>
    </r>
  </si>
  <si>
    <t>FPA desfavorables</t>
  </si>
  <si>
    <t>6. PCU AJUSTADOS</t>
  </si>
  <si>
    <r>
      <rPr>
        <b/>
        <sz val="12"/>
        <color theme="1"/>
        <rFont val="Calibri"/>
        <family val="2"/>
      </rPr>
      <t xml:space="preserve">Puntos de Casos de Uso Ajustados: AUCP = </t>
    </r>
    <r>
      <rPr>
        <b/>
        <sz val="12"/>
        <color rgb="FFFF0000"/>
        <rFont val="Calibri"/>
        <family val="2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</si>
  <si>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</si>
  <si>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</si>
  <si>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</si>
  <si>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</si>
  <si>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</si>
  <si>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</si>
  <si>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</si>
  <si>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</si>
  <si>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</si>
  <si>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</si>
  <si>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</si>
  <si>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</si>
  <si>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</si>
  <si>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</si>
  <si>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</si>
  <si>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</si>
  <si>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</si>
  <si>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</si>
  <si>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</si>
  <si>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</si>
  <si>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t>Dedicación Diaria (hs)</t>
  </si>
  <si>
    <t>Distribución Esfuerzo por Tarea (expresado en m-h)</t>
  </si>
  <si>
    <t>8a. ESFUERZO TOTAL</t>
  </si>
  <si>
    <t>8b. ESFUERZO TOTAL</t>
  </si>
  <si>
    <t>Distribución Esfuerzo por Tarea (expresado en h-h)</t>
  </si>
  <si>
    <t>Karner
(h-h)</t>
  </si>
  <si>
    <t>Sch&amp;Win
(h-h)</t>
  </si>
  <si>
    <t>Propia
(h-h)</t>
  </si>
  <si>
    <t>FECHA FINALIZACIÓN</t>
  </si>
  <si>
    <t>11. FECHA ESTIMACIÓN</t>
  </si>
  <si>
    <t>Iteración</t>
  </si>
  <si>
    <t>Fase e Iteración</t>
  </si>
  <si>
    <t>Fecha de estimación</t>
  </si>
  <si>
    <t>Fecha en que se realiza la estimación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</si>
</sst>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5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2"/>
      <color rgb="FF3F3F76"/>
      <name val="Calibri"/>
      <family val="2"/>
    </font>
    <font>
      <b/>
      <sz val="12"/>
      <color rgb="FFFA7D00"/>
      <name val="Calibri"/>
      <family val="2"/>
    </font>
    <font>
      <b/>
      <sz val="12"/>
      <color rgb="FF3F3F3F"/>
      <name val="Calibri"/>
      <family val="2"/>
    </font>
    <font>
      <u/>
      <sz val="10"/>
      <color theme="10"/>
      <name val="Arial"/>
      <family val="2"/>
    </font>
    <font>
      <b/>
      <sz val="11"/>
      <color rgb="FFFA7D00"/>
      <name val="Calibri"/>
      <family val="2"/>
    </font>
    <font>
      <b/>
      <sz val="12"/>
      <color rgb="FF002060"/>
      <name val="Calibri"/>
      <family val="2"/>
    </font>
    <font>
      <b/>
      <sz val="12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CC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4.9989318521683403E-2"/>
        <bgColor rgb="FFFFCC99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/>
    </xf>
    <xf numFmtId="49" fontId="5" fillId="3" borderId="9" xfId="0" applyNumberFormat="1" applyFont="1" applyFill="1" applyBorder="1" applyAlignment="1">
      <alignment vertical="center"/>
    </xf>
    <xf numFmtId="0" fontId="5" fillId="3" borderId="9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7" fillId="4" borderId="9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5" fillId="3" borderId="9" xfId="0" applyNumberFormat="1" applyFont="1" applyFill="1" applyBorder="1" applyAlignment="1">
      <alignment horizontal="left" vertical="center"/>
    </xf>
    <xf numFmtId="49" fontId="1" fillId="4" borderId="9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vertical="center" wrapText="1"/>
    </xf>
    <xf numFmtId="164" fontId="1" fillId="2" borderId="9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4" fillId="2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2" fontId="4" fillId="0" borderId="0" xfId="0" applyNumberFormat="1" applyFont="1" applyAlignment="1">
      <alignment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14" fontId="5" fillId="6" borderId="9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7" borderId="14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/>
    <xf numFmtId="0" fontId="3" fillId="0" borderId="8" xfId="0" applyFont="1" applyBorder="1"/>
    <xf numFmtId="2" fontId="1" fillId="8" borderId="9" xfId="0" applyNumberFormat="1" applyFont="1" applyFill="1" applyBorder="1" applyAlignment="1">
      <alignment horizontal="center" vertical="center"/>
    </xf>
    <xf numFmtId="164" fontId="1" fillId="8" borderId="9" xfId="0" applyNumberFormat="1" applyFont="1" applyFill="1" applyBorder="1" applyAlignment="1">
      <alignment horizontal="center" vertical="center"/>
    </xf>
    <xf numFmtId="165" fontId="4" fillId="8" borderId="9" xfId="0" applyNumberFormat="1" applyFont="1" applyFill="1" applyBorder="1" applyAlignment="1">
      <alignment horizontal="center" vertical="center"/>
    </xf>
    <xf numFmtId="164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/>
    </xf>
    <xf numFmtId="49" fontId="4" fillId="8" borderId="9" xfId="0" applyNumberFormat="1" applyFont="1" applyFill="1" applyBorder="1" applyAlignment="1">
      <alignment horizontal="center" vertical="center" wrapText="1"/>
    </xf>
    <xf numFmtId="164" fontId="1" fillId="9" borderId="9" xfId="0" applyNumberFormat="1" applyFont="1" applyFill="1" applyBorder="1" applyAlignment="1">
      <alignment horizontal="center" vertical="center" wrapText="1"/>
    </xf>
    <xf numFmtId="14" fontId="5" fillId="10" borderId="9" xfId="0" applyNumberFormat="1" applyFont="1" applyFill="1" applyBorder="1" applyAlignment="1">
      <alignment horizontal="center" vertical="center" wrapText="1"/>
    </xf>
    <xf numFmtId="0" fontId="4" fillId="11" borderId="0" xfId="0" applyFont="1" applyFill="1" applyAlignment="1">
      <alignment vertical="center"/>
    </xf>
    <xf numFmtId="0" fontId="4" fillId="11" borderId="13" xfId="0" applyFont="1" applyFill="1" applyBorder="1" applyAlignment="1">
      <alignment vertical="center"/>
    </xf>
    <xf numFmtId="0" fontId="4" fillId="11" borderId="15" xfId="0" applyFont="1" applyFill="1" applyBorder="1" applyAlignment="1">
      <alignment vertical="center"/>
    </xf>
    <xf numFmtId="0" fontId="4" fillId="11" borderId="18" xfId="0" applyFont="1" applyFill="1" applyBorder="1" applyAlignment="1">
      <alignment vertical="center"/>
    </xf>
    <xf numFmtId="9" fontId="14" fillId="12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8"/>
  <sheetViews>
    <sheetView tabSelected="1" topLeftCell="A67" zoomScale="70" zoomScaleNormal="70" workbookViewId="0">
      <selection activeCell="C82" sqref="C82"/>
    </sheetView>
  </sheetViews>
  <sheetFormatPr baseColWidth="10" defaultColWidth="12.5703125" defaultRowHeight="15" customHeight="1" x14ac:dyDescent="0.2"/>
  <cols>
    <col min="1" max="1" width="27.7109375" customWidth="1"/>
    <col min="2" max="2" width="32.140625" customWidth="1"/>
    <col min="3" max="3" width="35.425781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74" t="s">
        <v>0</v>
      </c>
      <c r="C2" s="70"/>
      <c r="D2" s="70"/>
      <c r="E2" s="70"/>
      <c r="F2" s="70"/>
      <c r="G2" s="71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1" t="s">
        <v>1</v>
      </c>
      <c r="C3" s="86" t="s">
        <v>2</v>
      </c>
      <c r="D3" s="6"/>
      <c r="E3" s="6"/>
      <c r="F3" s="6"/>
      <c r="G3" s="7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61" t="s">
        <v>3</v>
      </c>
      <c r="C4" s="87" t="s">
        <v>4</v>
      </c>
      <c r="D4" s="62"/>
      <c r="E4" s="62"/>
      <c r="F4" s="62"/>
      <c r="G4" s="7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4"/>
      <c r="B5" s="63" t="s">
        <v>118</v>
      </c>
      <c r="C5" s="88" t="s">
        <v>119</v>
      </c>
      <c r="D5" s="64"/>
      <c r="E5" s="64"/>
      <c r="F5" s="64"/>
      <c r="G5" s="65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75" customHeight="1" x14ac:dyDescent="0.2">
      <c r="A6" s="4"/>
      <c r="B6" s="66" t="s">
        <v>120</v>
      </c>
      <c r="C6" s="89" t="s">
        <v>121</v>
      </c>
      <c r="D6" s="67"/>
      <c r="E6" s="67"/>
      <c r="F6" s="67"/>
      <c r="G6" s="68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.75" customHeight="1" x14ac:dyDescent="0.2">
      <c r="A7" s="1"/>
      <c r="B7" s="8"/>
      <c r="C7" s="1"/>
      <c r="D7" s="9"/>
      <c r="E7" s="9"/>
      <c r="F7" s="9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customHeight="1" x14ac:dyDescent="0.2">
      <c r="A8" s="1"/>
      <c r="B8" s="1"/>
      <c r="C8" s="1"/>
      <c r="D8" s="2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0" t="s">
        <v>5</v>
      </c>
      <c r="B9" s="11" t="s">
        <v>6</v>
      </c>
      <c r="C9" s="12" t="s">
        <v>7</v>
      </c>
      <c r="D9" s="12" t="s">
        <v>8</v>
      </c>
      <c r="E9" s="11" t="s">
        <v>9</v>
      </c>
      <c r="F9" s="11" t="s">
        <v>10</v>
      </c>
      <c r="G9" s="11" t="s">
        <v>11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7.75" customHeight="1" x14ac:dyDescent="0.2">
      <c r="A10" s="1"/>
      <c r="B10" s="13" t="s">
        <v>12</v>
      </c>
      <c r="C10" s="14" t="s">
        <v>13</v>
      </c>
      <c r="D10" s="15" t="s">
        <v>14</v>
      </c>
      <c r="E10" s="16">
        <f t="shared" ref="E10:E13" si="0">IF(C10="Simple",1,IF(C10="Intermedio",2,IF(C10="Complejo",3,"error")))</f>
        <v>3</v>
      </c>
      <c r="F10" s="17">
        <v>1</v>
      </c>
      <c r="G10" s="16">
        <f t="shared" ref="G10:G13" si="1">E10*F10</f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3" t="s">
        <v>15</v>
      </c>
      <c r="C11" s="14" t="s">
        <v>16</v>
      </c>
      <c r="D11" s="15" t="s">
        <v>17</v>
      </c>
      <c r="E11" s="16">
        <f t="shared" si="0"/>
        <v>2</v>
      </c>
      <c r="F11" s="17">
        <v>2</v>
      </c>
      <c r="G11" s="16">
        <f t="shared" si="1"/>
        <v>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3" t="s">
        <v>18</v>
      </c>
      <c r="C12" s="14" t="s">
        <v>19</v>
      </c>
      <c r="D12" s="15" t="s">
        <v>20</v>
      </c>
      <c r="E12" s="16">
        <f t="shared" si="0"/>
        <v>1</v>
      </c>
      <c r="F12" s="17">
        <v>1</v>
      </c>
      <c r="G12" s="16">
        <f t="shared" si="1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3" t="s">
        <v>21</v>
      </c>
      <c r="C13" s="14" t="s">
        <v>19</v>
      </c>
      <c r="D13" s="15" t="s">
        <v>22</v>
      </c>
      <c r="E13" s="16">
        <f t="shared" si="0"/>
        <v>1</v>
      </c>
      <c r="F13" s="17">
        <v>1</v>
      </c>
      <c r="G13" s="16">
        <f t="shared" si="1"/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8"/>
      <c r="C14" s="69" t="s">
        <v>23</v>
      </c>
      <c r="D14" s="70"/>
      <c r="E14" s="70"/>
      <c r="F14" s="71"/>
      <c r="G14" s="20">
        <f>SUM(G10:G13)</f>
        <v>9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"/>
      <c r="B15" s="10"/>
      <c r="C15" s="21"/>
      <c r="D15" s="3"/>
      <c r="E15" s="3"/>
      <c r="F15" s="3"/>
      <c r="G15" s="22"/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">
      <c r="A16" s="1"/>
      <c r="B16" s="10"/>
      <c r="C16" s="23"/>
      <c r="D16" s="23"/>
      <c r="E16" s="24"/>
      <c r="F16" s="10"/>
      <c r="G16" s="10"/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75" customHeight="1" x14ac:dyDescent="0.2">
      <c r="A17" s="10" t="s">
        <v>24</v>
      </c>
      <c r="B17" s="11" t="s">
        <v>25</v>
      </c>
      <c r="C17" s="11" t="s">
        <v>26</v>
      </c>
      <c r="D17" s="12" t="s">
        <v>27</v>
      </c>
      <c r="E17" s="12" t="s">
        <v>28</v>
      </c>
      <c r="F17" s="11" t="s">
        <v>9</v>
      </c>
      <c r="G17" s="9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5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13" t="s">
        <v>29</v>
      </c>
      <c r="C18" s="13" t="s">
        <v>30</v>
      </c>
      <c r="D18" s="26">
        <v>2</v>
      </c>
      <c r="E18" s="16" t="str">
        <f t="shared" ref="E18:E23" si="2">IF($D18&gt;0,IF($D18&lt;=3,"Simple",IF(AND($D18&gt;3,$D18&lt;7),"Intermedio",IF($D18&gt;=7,"Complejo","error"))),"-")</f>
        <v>Simple</v>
      </c>
      <c r="F18" s="16">
        <f t="shared" ref="F18:F23" si="3">IF($D18&gt;0,IF($D18&lt;=3,5,IF(AND($D18&gt;3,$D18&lt;7),10,IF($D18&gt;=7,15,"error"))),0)</f>
        <v>5</v>
      </c>
      <c r="G18" s="1"/>
      <c r="H18" s="1"/>
      <c r="I18" s="1"/>
      <c r="J18" s="1"/>
      <c r="K18" s="25"/>
      <c r="L18" s="1"/>
      <c r="M18" s="1"/>
      <c r="N18" s="1"/>
      <c r="O18" s="1"/>
      <c r="P18" s="1"/>
      <c r="Q18" s="1"/>
      <c r="R18" s="1"/>
      <c r="S18" s="1"/>
      <c r="T18" s="25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13" t="s">
        <v>31</v>
      </c>
      <c r="C19" s="13" t="s">
        <v>32</v>
      </c>
      <c r="D19" s="26">
        <v>4</v>
      </c>
      <c r="E19" s="16" t="str">
        <f t="shared" si="2"/>
        <v>Intermedio</v>
      </c>
      <c r="F19" s="16">
        <f t="shared" si="3"/>
        <v>10</v>
      </c>
      <c r="G19" s="1"/>
      <c r="H19" s="1"/>
      <c r="I19" s="1"/>
      <c r="J19" s="1"/>
      <c r="K19" s="25"/>
      <c r="L19" s="1"/>
      <c r="M19" s="1"/>
      <c r="N19" s="1"/>
      <c r="O19" s="1"/>
      <c r="P19" s="1"/>
      <c r="Q19" s="1"/>
      <c r="R19" s="1"/>
      <c r="S19" s="1"/>
      <c r="T19" s="25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13" t="s">
        <v>33</v>
      </c>
      <c r="C20" s="13"/>
      <c r="D20" s="26"/>
      <c r="E20" s="16" t="str">
        <f t="shared" si="2"/>
        <v>-</v>
      </c>
      <c r="F20" s="16">
        <f t="shared" si="3"/>
        <v>0</v>
      </c>
      <c r="G20" s="1"/>
      <c r="H20" s="1"/>
      <c r="I20" s="1"/>
      <c r="J20" s="1"/>
      <c r="K20" s="25"/>
      <c r="L20" s="1"/>
      <c r="M20" s="1"/>
      <c r="N20" s="1"/>
      <c r="O20" s="1"/>
      <c r="P20" s="1"/>
      <c r="Q20" s="1"/>
      <c r="R20" s="1"/>
      <c r="S20" s="1"/>
      <c r="T20" s="25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13" t="s">
        <v>34</v>
      </c>
      <c r="C21" s="27"/>
      <c r="D21" s="28"/>
      <c r="E21" s="16" t="str">
        <f t="shared" si="2"/>
        <v>-</v>
      </c>
      <c r="F21" s="16">
        <f t="shared" si="3"/>
        <v>0</v>
      </c>
      <c r="G21" s="1"/>
      <c r="H21" s="1"/>
      <c r="I21" s="1"/>
      <c r="J21" s="1"/>
      <c r="K21" s="25"/>
      <c r="L21" s="1"/>
      <c r="M21" s="1"/>
      <c r="N21" s="1"/>
      <c r="O21" s="1"/>
      <c r="P21" s="1"/>
      <c r="Q21" s="1"/>
      <c r="R21" s="1"/>
      <c r="S21" s="1"/>
      <c r="T21" s="25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13" t="s">
        <v>35</v>
      </c>
      <c r="C22" s="27"/>
      <c r="D22" s="28"/>
      <c r="E22" s="16" t="str">
        <f t="shared" si="2"/>
        <v>-</v>
      </c>
      <c r="F22" s="16">
        <f t="shared" si="3"/>
        <v>0</v>
      </c>
      <c r="G22" s="1"/>
      <c r="H22" s="1"/>
      <c r="I22" s="1"/>
      <c r="J22" s="1"/>
      <c r="K22" s="25"/>
      <c r="L22" s="1"/>
      <c r="M22" s="1"/>
      <c r="N22" s="1"/>
      <c r="O22" s="1"/>
      <c r="P22" s="1"/>
      <c r="Q22" s="1"/>
      <c r="R22" s="1"/>
      <c r="S22" s="1"/>
      <c r="T22" s="25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13" t="s">
        <v>36</v>
      </c>
      <c r="C23" s="27"/>
      <c r="D23" s="28"/>
      <c r="E23" s="16" t="str">
        <f t="shared" si="2"/>
        <v>-</v>
      </c>
      <c r="F23" s="16">
        <f t="shared" si="3"/>
        <v>0</v>
      </c>
      <c r="G23" s="1"/>
      <c r="H23" s="1"/>
      <c r="I23" s="1"/>
      <c r="J23" s="1"/>
      <c r="K23" s="25"/>
      <c r="L23" s="1"/>
      <c r="M23" s="1"/>
      <c r="N23" s="1"/>
      <c r="O23" s="1"/>
      <c r="P23" s="1"/>
      <c r="Q23" s="1"/>
      <c r="R23" s="1"/>
      <c r="S23" s="1"/>
      <c r="T23" s="25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29"/>
      <c r="C24" s="75" t="s">
        <v>37</v>
      </c>
      <c r="D24" s="76"/>
      <c r="E24" s="77"/>
      <c r="F24" s="30">
        <f>SUM(F18:F23)</f>
        <v>15</v>
      </c>
      <c r="G24" s="1"/>
      <c r="H24" s="10"/>
      <c r="I24" s="1"/>
      <c r="J24" s="1"/>
      <c r="K24" s="2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1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75" customHeight="1" x14ac:dyDescent="0.2">
      <c r="A27" s="10" t="s">
        <v>38</v>
      </c>
      <c r="B27" s="31"/>
      <c r="C27" s="69" t="s">
        <v>39</v>
      </c>
      <c r="D27" s="70"/>
      <c r="E27" s="71"/>
      <c r="F27" s="20">
        <f>G14+F24</f>
        <v>24</v>
      </c>
      <c r="G27" s="1"/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">
      <c r="A29" s="1"/>
      <c r="B29" s="3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">
      <c r="A30" s="10" t="s">
        <v>40</v>
      </c>
      <c r="B30" s="12" t="s">
        <v>41</v>
      </c>
      <c r="C30" s="12" t="s">
        <v>42</v>
      </c>
      <c r="D30" s="11" t="s">
        <v>43</v>
      </c>
      <c r="E30" s="11" t="s">
        <v>9</v>
      </c>
      <c r="F30" s="11" t="s">
        <v>44</v>
      </c>
      <c r="G30" s="11" t="s">
        <v>45</v>
      </c>
      <c r="H30" s="1" t="s">
        <v>46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7.75" customHeight="1" x14ac:dyDescent="0.2">
      <c r="A31" s="1"/>
      <c r="B31" s="32" t="s">
        <v>47</v>
      </c>
      <c r="C31" s="32" t="s">
        <v>48</v>
      </c>
      <c r="D31" s="33" t="s">
        <v>49</v>
      </c>
      <c r="E31" s="34">
        <v>2</v>
      </c>
      <c r="F31" s="17">
        <v>3</v>
      </c>
      <c r="G31" s="35">
        <f t="shared" ref="G31:G43" si="4">E31*F31</f>
        <v>6</v>
      </c>
      <c r="H31" s="36" t="s">
        <v>50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32" t="s">
        <v>51</v>
      </c>
      <c r="C32" s="32" t="s">
        <v>48</v>
      </c>
      <c r="D32" s="33" t="s">
        <v>49</v>
      </c>
      <c r="E32" s="35">
        <v>2</v>
      </c>
      <c r="F32" s="17">
        <v>3</v>
      </c>
      <c r="G32" s="35">
        <f t="shared" si="4"/>
        <v>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32" t="s">
        <v>52</v>
      </c>
      <c r="C33" s="32" t="s">
        <v>48</v>
      </c>
      <c r="D33" s="33" t="s">
        <v>49</v>
      </c>
      <c r="E33" s="35">
        <v>1</v>
      </c>
      <c r="F33" s="17">
        <v>3</v>
      </c>
      <c r="G33" s="35">
        <f t="shared" si="4"/>
        <v>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32" t="s">
        <v>53</v>
      </c>
      <c r="C34" s="32" t="s">
        <v>48</v>
      </c>
      <c r="D34" s="33" t="s">
        <v>49</v>
      </c>
      <c r="E34" s="35">
        <v>1</v>
      </c>
      <c r="F34" s="17">
        <v>3</v>
      </c>
      <c r="G34" s="35">
        <f t="shared" si="4"/>
        <v>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">
      <c r="A35" s="1"/>
      <c r="B35" s="32" t="s">
        <v>54</v>
      </c>
      <c r="C35" s="32" t="s">
        <v>48</v>
      </c>
      <c r="D35" s="33" t="s">
        <v>49</v>
      </c>
      <c r="E35" s="34">
        <v>1</v>
      </c>
      <c r="F35" s="17">
        <v>3</v>
      </c>
      <c r="G35" s="35">
        <f t="shared" si="4"/>
        <v>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 x14ac:dyDescent="0.2">
      <c r="A36" s="1"/>
      <c r="B36" s="32" t="s">
        <v>55</v>
      </c>
      <c r="C36" s="32" t="s">
        <v>48</v>
      </c>
      <c r="D36" s="33" t="s">
        <v>49</v>
      </c>
      <c r="E36" s="34">
        <v>0.5</v>
      </c>
      <c r="F36" s="17">
        <v>3</v>
      </c>
      <c r="G36" s="35">
        <f t="shared" si="4"/>
        <v>1.5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75" customHeight="1" x14ac:dyDescent="0.2">
      <c r="A37" s="1"/>
      <c r="B37" s="32" t="s">
        <v>56</v>
      </c>
      <c r="C37" s="32" t="s">
        <v>48</v>
      </c>
      <c r="D37" s="33" t="s">
        <v>49</v>
      </c>
      <c r="E37" s="34">
        <v>0.5</v>
      </c>
      <c r="F37" s="17">
        <v>3</v>
      </c>
      <c r="G37" s="35">
        <f t="shared" si="4"/>
        <v>1.5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32" t="s">
        <v>57</v>
      </c>
      <c r="C38" s="32" t="s">
        <v>48</v>
      </c>
      <c r="D38" s="33" t="s">
        <v>49</v>
      </c>
      <c r="E38" s="34">
        <v>2</v>
      </c>
      <c r="F38" s="17">
        <v>3</v>
      </c>
      <c r="G38" s="35">
        <f t="shared" si="4"/>
        <v>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x14ac:dyDescent="0.2">
      <c r="A39" s="1"/>
      <c r="B39" s="32" t="s">
        <v>58</v>
      </c>
      <c r="C39" s="32" t="s">
        <v>48</v>
      </c>
      <c r="D39" s="33" t="s">
        <v>49</v>
      </c>
      <c r="E39" s="34">
        <v>1</v>
      </c>
      <c r="F39" s="17">
        <v>3</v>
      </c>
      <c r="G39" s="35">
        <f t="shared" si="4"/>
        <v>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"/>
      <c r="B40" s="32" t="s">
        <v>59</v>
      </c>
      <c r="C40" s="32" t="s">
        <v>48</v>
      </c>
      <c r="D40" s="33" t="s">
        <v>49</v>
      </c>
      <c r="E40" s="34">
        <v>1</v>
      </c>
      <c r="F40" s="17">
        <v>3</v>
      </c>
      <c r="G40" s="35">
        <f t="shared" si="4"/>
        <v>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32" t="s">
        <v>60</v>
      </c>
      <c r="C41" s="32" t="s">
        <v>48</v>
      </c>
      <c r="D41" s="33" t="s">
        <v>49</v>
      </c>
      <c r="E41" s="35">
        <v>1</v>
      </c>
      <c r="F41" s="17">
        <v>3</v>
      </c>
      <c r="G41" s="35">
        <f t="shared" si="4"/>
        <v>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32" t="s">
        <v>61</v>
      </c>
      <c r="C42" s="32" t="s">
        <v>48</v>
      </c>
      <c r="D42" s="33" t="s">
        <v>49</v>
      </c>
      <c r="E42" s="35">
        <v>1</v>
      </c>
      <c r="F42" s="17">
        <v>3</v>
      </c>
      <c r="G42" s="35">
        <f t="shared" si="4"/>
        <v>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32" t="s">
        <v>62</v>
      </c>
      <c r="C43" s="32" t="s">
        <v>48</v>
      </c>
      <c r="D43" s="33" t="s">
        <v>49</v>
      </c>
      <c r="E43" s="34">
        <v>1</v>
      </c>
      <c r="F43" s="17">
        <v>3</v>
      </c>
      <c r="G43" s="35">
        <f t="shared" si="4"/>
        <v>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">
      <c r="A44" s="1"/>
      <c r="B44" s="69" t="s">
        <v>63</v>
      </c>
      <c r="C44" s="70"/>
      <c r="D44" s="70"/>
      <c r="E44" s="70"/>
      <c r="F44" s="71"/>
      <c r="G44" s="37">
        <f>SUM(G31:G43)</f>
        <v>45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">
      <c r="A45" s="1"/>
      <c r="B45" s="69" t="s">
        <v>64</v>
      </c>
      <c r="C45" s="70"/>
      <c r="D45" s="70"/>
      <c r="E45" s="70"/>
      <c r="F45" s="71"/>
      <c r="G45" s="30">
        <f>0.6+(0.01*G44)</f>
        <v>1.05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75" customHeight="1" x14ac:dyDescent="0.2">
      <c r="A46" s="1"/>
      <c r="B46" s="21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75" customHeight="1" x14ac:dyDescent="0.2">
      <c r="A47" s="1"/>
      <c r="B47" s="38"/>
      <c r="C47" s="38"/>
      <c r="D47" s="39"/>
      <c r="E47" s="38"/>
      <c r="F47" s="38"/>
      <c r="G47" s="3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0" t="s">
        <v>65</v>
      </c>
      <c r="B48" s="12" t="s">
        <v>66</v>
      </c>
      <c r="C48" s="12" t="s">
        <v>67</v>
      </c>
      <c r="D48" s="11" t="s">
        <v>68</v>
      </c>
      <c r="E48" s="11" t="s">
        <v>9</v>
      </c>
      <c r="F48" s="11" t="s">
        <v>44</v>
      </c>
      <c r="G48" s="11" t="s">
        <v>45</v>
      </c>
      <c r="H48" s="1" t="s">
        <v>69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">
      <c r="A49" s="1"/>
      <c r="B49" s="40" t="s">
        <v>70</v>
      </c>
      <c r="C49" s="32" t="s">
        <v>71</v>
      </c>
      <c r="D49" s="33" t="s">
        <v>49</v>
      </c>
      <c r="E49" s="34">
        <v>1.5</v>
      </c>
      <c r="F49" s="17">
        <v>3</v>
      </c>
      <c r="G49" s="35">
        <f t="shared" ref="G49:G56" si="5">E49*F49</f>
        <v>4.5</v>
      </c>
      <c r="H49" s="36" t="s">
        <v>50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40" t="s">
        <v>72</v>
      </c>
      <c r="C50" s="32" t="s">
        <v>71</v>
      </c>
      <c r="D50" s="33" t="s">
        <v>49</v>
      </c>
      <c r="E50" s="34">
        <v>0.5</v>
      </c>
      <c r="F50" s="17">
        <v>3</v>
      </c>
      <c r="G50" s="35">
        <f t="shared" si="5"/>
        <v>1.5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40" t="s">
        <v>73</v>
      </c>
      <c r="C51" s="32" t="s">
        <v>71</v>
      </c>
      <c r="D51" s="33" t="s">
        <v>49</v>
      </c>
      <c r="E51" s="34">
        <v>1</v>
      </c>
      <c r="F51" s="17">
        <v>3</v>
      </c>
      <c r="G51" s="35">
        <f t="shared" si="5"/>
        <v>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40" t="s">
        <v>74</v>
      </c>
      <c r="C52" s="32" t="s">
        <v>71</v>
      </c>
      <c r="D52" s="33" t="s">
        <v>49</v>
      </c>
      <c r="E52" s="34">
        <v>0.5</v>
      </c>
      <c r="F52" s="17">
        <v>3</v>
      </c>
      <c r="G52" s="35">
        <f t="shared" si="5"/>
        <v>1.5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.75" customHeight="1" x14ac:dyDescent="0.2">
      <c r="A53" s="1"/>
      <c r="B53" s="40" t="s">
        <v>75</v>
      </c>
      <c r="C53" s="32" t="s">
        <v>76</v>
      </c>
      <c r="D53" s="33" t="s">
        <v>49</v>
      </c>
      <c r="E53" s="34">
        <v>1</v>
      </c>
      <c r="F53" s="17">
        <v>3</v>
      </c>
      <c r="G53" s="35">
        <f t="shared" si="5"/>
        <v>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40" t="s">
        <v>77</v>
      </c>
      <c r="C54" s="32" t="s">
        <v>78</v>
      </c>
      <c r="D54" s="33" t="s">
        <v>49</v>
      </c>
      <c r="E54" s="34">
        <v>2</v>
      </c>
      <c r="F54" s="17">
        <v>3</v>
      </c>
      <c r="G54" s="35">
        <f t="shared" si="5"/>
        <v>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40" t="s">
        <v>79</v>
      </c>
      <c r="C55" s="32" t="s">
        <v>80</v>
      </c>
      <c r="D55" s="33" t="s">
        <v>49</v>
      </c>
      <c r="E55" s="34">
        <v>-1</v>
      </c>
      <c r="F55" s="17">
        <v>3</v>
      </c>
      <c r="G55" s="35">
        <f t="shared" si="5"/>
        <v>-3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40" t="s">
        <v>81</v>
      </c>
      <c r="C56" s="32" t="s">
        <v>82</v>
      </c>
      <c r="D56" s="33" t="s">
        <v>49</v>
      </c>
      <c r="E56" s="34">
        <v>-1</v>
      </c>
      <c r="F56" s="17">
        <v>3</v>
      </c>
      <c r="G56" s="35">
        <f t="shared" si="5"/>
        <v>-3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75" customHeight="1" x14ac:dyDescent="0.2">
      <c r="A57" s="1"/>
      <c r="B57" s="69" t="s">
        <v>83</v>
      </c>
      <c r="C57" s="70"/>
      <c r="D57" s="70"/>
      <c r="E57" s="70"/>
      <c r="F57" s="71"/>
      <c r="G57" s="11">
        <f>SUM(G49:G56)</f>
        <v>13.5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">
      <c r="A58" s="1"/>
      <c r="B58" s="69" t="s">
        <v>84</v>
      </c>
      <c r="C58" s="70"/>
      <c r="D58" s="70"/>
      <c r="E58" s="70"/>
      <c r="F58" s="71"/>
      <c r="G58" s="11">
        <f>1.4 + (-0.03*G57)</f>
        <v>0.99499999999999988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75" customHeight="1" x14ac:dyDescent="0.2">
      <c r="A59" s="1"/>
      <c r="B59" s="19"/>
      <c r="C59" s="41"/>
      <c r="D59" s="42"/>
      <c r="E59" s="41"/>
      <c r="F59" s="43" t="s">
        <v>85</v>
      </c>
      <c r="G59" s="11">
        <f>COUNTIF($F$49:$F$54,"&lt;3")+COUNTIF($F$55:$F$56,"&gt;3")</f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">
      <c r="A60" s="1"/>
      <c r="B60" s="21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75" customHeight="1" x14ac:dyDescent="0.2">
      <c r="A61" s="1"/>
      <c r="B61" s="1"/>
      <c r="C61" s="1"/>
      <c r="D61" s="2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0" t="s">
        <v>86</v>
      </c>
      <c r="B62" s="72" t="s">
        <v>87</v>
      </c>
      <c r="C62" s="70"/>
      <c r="D62" s="70"/>
      <c r="E62" s="70"/>
      <c r="F62" s="71"/>
      <c r="G62" s="44">
        <f>F27*G45*G58</f>
        <v>25.074000000000002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45" t="s">
        <v>88</v>
      </c>
      <c r="B65" s="12" t="s">
        <v>89</v>
      </c>
      <c r="C65" s="12" t="s">
        <v>90</v>
      </c>
      <c r="D65" s="83" t="s">
        <v>91</v>
      </c>
      <c r="E65" s="3"/>
      <c r="F65" s="1"/>
      <c r="G65" s="12" t="s">
        <v>92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46">
        <v>20</v>
      </c>
      <c r="C66" s="46">
        <f>IF($G$59&gt;=5,36,IF(AND(G$59&gt;2,$G$59&lt;=4),28, IF(AND($G$59&gt;=0,$G$59&lt;=2),20,"error")))</f>
        <v>20</v>
      </c>
      <c r="D66" s="78">
        <f>IF($G$59&gt;=5,$G$66*(36/20),IF(AND($G$59&gt;2,$G$59&lt;=4),$G$66*(28/20), IF(AND($G$59&gt;=0,$G$59&lt;=2),$G$66,"error")))</f>
        <v>2.5</v>
      </c>
      <c r="E66" s="3"/>
      <c r="F66" s="1"/>
      <c r="G66" s="47">
        <v>2.5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"/>
      <c r="B67" s="73" t="s">
        <v>93</v>
      </c>
      <c r="C67" s="70"/>
      <c r="D67" s="7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">
      <c r="A68" s="48" t="s">
        <v>94</v>
      </c>
      <c r="B68" s="46">
        <f t="shared" ref="B68:D68" si="6">$G$62*B66</f>
        <v>501.48</v>
      </c>
      <c r="C68" s="46">
        <f t="shared" si="6"/>
        <v>501.48</v>
      </c>
      <c r="D68" s="79">
        <f t="shared" si="6"/>
        <v>62.685000000000002</v>
      </c>
      <c r="E68" s="3"/>
      <c r="F68" s="1"/>
      <c r="G68" s="12" t="s">
        <v>108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48" t="s">
        <v>95</v>
      </c>
      <c r="B69" s="49">
        <f>B68/(22*G69)</f>
        <v>2.8493181818181821</v>
      </c>
      <c r="C69" s="49">
        <f>C68/(22*G69)</f>
        <v>2.8493181818181821</v>
      </c>
      <c r="D69" s="80">
        <f>D68/(22*G69)</f>
        <v>0.35616477272727276</v>
      </c>
      <c r="E69" s="3"/>
      <c r="F69" s="1"/>
      <c r="G69" s="47">
        <v>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0" t="s">
        <v>110</v>
      </c>
      <c r="B72" s="50" t="s">
        <v>112</v>
      </c>
      <c r="C72" s="51"/>
      <c r="D72" s="42"/>
      <c r="E72" s="41"/>
      <c r="F72" s="5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1"/>
      <c r="B73" s="31" t="s">
        <v>96</v>
      </c>
      <c r="C73" s="11" t="s">
        <v>97</v>
      </c>
      <c r="D73" s="44" t="s">
        <v>113</v>
      </c>
      <c r="E73" s="44" t="s">
        <v>114</v>
      </c>
      <c r="F73" s="81" t="s">
        <v>115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1"/>
      <c r="B74" s="53" t="s">
        <v>101</v>
      </c>
      <c r="C74" s="90">
        <v>0.4</v>
      </c>
      <c r="D74" s="49">
        <f>+B68</f>
        <v>501.48</v>
      </c>
      <c r="E74" s="49">
        <f>+C68</f>
        <v>501.48</v>
      </c>
      <c r="F74" s="82">
        <f>+D68</f>
        <v>62.685000000000002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"/>
      <c r="B75" s="53" t="s">
        <v>102</v>
      </c>
      <c r="C75" s="90">
        <f>1-C74</f>
        <v>0.6</v>
      </c>
      <c r="D75" s="46">
        <f>+D74*1.5</f>
        <v>752.22</v>
      </c>
      <c r="E75" s="46">
        <f t="shared" ref="E75:F75" si="7">+E74*1.5</f>
        <v>752.22</v>
      </c>
      <c r="F75" s="79">
        <f t="shared" si="7"/>
        <v>94.027500000000003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54"/>
      <c r="C76" s="90">
        <f>SUM(C74:C75)</f>
        <v>1</v>
      </c>
      <c r="D76" s="49">
        <f>+D74+D75</f>
        <v>1253.7</v>
      </c>
      <c r="E76" s="49">
        <f t="shared" ref="E76:F76" si="8">+E74+E75</f>
        <v>1253.7</v>
      </c>
      <c r="F76" s="82">
        <f t="shared" si="8"/>
        <v>156.71250000000001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0" t="s">
        <v>111</v>
      </c>
      <c r="B78" s="50" t="s">
        <v>109</v>
      </c>
      <c r="C78" s="51"/>
      <c r="D78" s="42"/>
      <c r="E78" s="4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31" t="s">
        <v>96</v>
      </c>
      <c r="C79" s="11" t="s">
        <v>97</v>
      </c>
      <c r="D79" s="44" t="s">
        <v>98</v>
      </c>
      <c r="E79" s="44" t="s">
        <v>99</v>
      </c>
      <c r="F79" s="81" t="s">
        <v>100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53" t="s">
        <v>101</v>
      </c>
      <c r="C80" s="90">
        <v>0.4</v>
      </c>
      <c r="D80" s="49">
        <f t="shared" ref="D80:F82" si="9">$C80/$C$80*B$69</f>
        <v>2.8493181818181821</v>
      </c>
      <c r="E80" s="49">
        <f t="shared" si="9"/>
        <v>2.8493181818181821</v>
      </c>
      <c r="F80" s="82">
        <f t="shared" si="9"/>
        <v>0.35616477272727276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"/>
      <c r="B81" s="53" t="s">
        <v>102</v>
      </c>
      <c r="C81" s="90">
        <f>1-C80</f>
        <v>0.6</v>
      </c>
      <c r="D81" s="46">
        <f t="shared" si="9"/>
        <v>4.2739772727272722</v>
      </c>
      <c r="E81" s="46">
        <f t="shared" si="9"/>
        <v>4.2739772727272722</v>
      </c>
      <c r="F81" s="79">
        <f t="shared" si="9"/>
        <v>0.53424715909090903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54"/>
      <c r="C82" s="90">
        <f>SUM(C80:C81)</f>
        <v>1</v>
      </c>
      <c r="D82" s="49">
        <f t="shared" si="9"/>
        <v>7.1232954545454552</v>
      </c>
      <c r="E82" s="49">
        <f t="shared" si="9"/>
        <v>7.1232954545454552</v>
      </c>
      <c r="F82" s="82">
        <f t="shared" si="9"/>
        <v>0.8904119318181819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0" t="s">
        <v>103</v>
      </c>
      <c r="B84" s="17">
        <v>4</v>
      </c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10" t="s">
        <v>104</v>
      </c>
      <c r="B86" s="44" t="s">
        <v>105</v>
      </c>
      <c r="C86" s="44" t="s">
        <v>106</v>
      </c>
      <c r="D86" s="81" t="s">
        <v>107</v>
      </c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75" customHeight="1" x14ac:dyDescent="0.2">
      <c r="A87" s="55"/>
      <c r="B87" s="56">
        <f>$D$82/$B$84</f>
        <v>1.7808238636363638</v>
      </c>
      <c r="C87" s="56">
        <f>$E$82/$B$84</f>
        <v>1.7808238636363638</v>
      </c>
      <c r="D87" s="84">
        <f>$F$82/$B$84</f>
        <v>0.22260298295454548</v>
      </c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 x14ac:dyDescent="0.2">
      <c r="A88" s="55"/>
      <c r="B88" s="55"/>
      <c r="C88" s="55"/>
      <c r="D88" s="55"/>
      <c r="E88" s="57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 x14ac:dyDescent="0.2">
      <c r="A89" s="58" t="s">
        <v>117</v>
      </c>
      <c r="B89" s="44" t="s">
        <v>116</v>
      </c>
      <c r="C89" s="44" t="s">
        <v>116</v>
      </c>
      <c r="D89" s="81" t="s">
        <v>116</v>
      </c>
      <c r="E89" s="57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 x14ac:dyDescent="0.2">
      <c r="A90" s="59">
        <v>45952</v>
      </c>
      <c r="B90" s="60">
        <f>EDATE(A90,INT(B87)) + (B87-INT(B87))*DAY(EDATE(A90,INT(B87)+1)-EDATE(A90,INT(B87)))</f>
        <v>46006.424715909088</v>
      </c>
      <c r="C90" s="60">
        <f>EDATE(A90,INT(C87)) + (C87-INT(C87))*DAY(EDATE(A90,INT(C87)+1)-EDATE(A90,INT(C87)))</f>
        <v>46006.424715909088</v>
      </c>
      <c r="D90" s="85">
        <f>EDATE(A90,INT(D87)) + (D87-INT(D87))*DAY(EDATE(A90,INT(D87)+1)-EDATE(A90,INT(D87)))</f>
        <v>45958.900692471594</v>
      </c>
      <c r="E90" s="57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 x14ac:dyDescent="0.2">
      <c r="A91" s="55"/>
      <c r="B91" s="55"/>
      <c r="C91" s="55"/>
      <c r="D91" s="55"/>
      <c r="E91" s="57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 x14ac:dyDescent="0.2">
      <c r="A92" s="55"/>
      <c r="B92" s="55"/>
      <c r="C92" s="55"/>
      <c r="D92" s="55"/>
      <c r="E92" s="57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2">
      <c r="A93" s="55"/>
      <c r="B93" s="55"/>
      <c r="C93" s="55"/>
      <c r="D93" s="55"/>
      <c r="E93" s="57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2">
      <c r="A94" s="55"/>
      <c r="B94" s="55"/>
      <c r="C94" s="55"/>
      <c r="D94" s="55"/>
      <c r="E94" s="57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2">
      <c r="A95" s="55"/>
      <c r="B95" s="55"/>
      <c r="C95" s="55"/>
      <c r="D95" s="55"/>
      <c r="E95" s="57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2">
      <c r="A96" s="55"/>
      <c r="B96" s="55"/>
      <c r="C96" s="55"/>
      <c r="D96" s="55"/>
      <c r="E96" s="57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2">
      <c r="A97" s="55"/>
      <c r="B97" s="55"/>
      <c r="C97" s="55"/>
      <c r="D97" s="55"/>
      <c r="E97" s="57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2">
      <c r="A98" s="55"/>
      <c r="B98" s="55"/>
      <c r="C98" s="55"/>
      <c r="D98" s="55"/>
      <c r="E98" s="57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2">
      <c r="A99" s="55"/>
      <c r="B99" s="55"/>
      <c r="C99" s="55"/>
      <c r="D99" s="55"/>
      <c r="E99" s="57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2">
      <c r="A100" s="55"/>
      <c r="B100" s="55"/>
      <c r="C100" s="55"/>
      <c r="D100" s="55"/>
      <c r="E100" s="57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2">
      <c r="A101" s="55"/>
      <c r="B101" s="55"/>
      <c r="C101" s="55"/>
      <c r="D101" s="55"/>
      <c r="E101" s="57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2">
      <c r="A102" s="55"/>
      <c r="B102" s="55"/>
      <c r="C102" s="55"/>
      <c r="D102" s="55"/>
      <c r="E102" s="57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2">
      <c r="A103" s="55"/>
      <c r="B103" s="55"/>
      <c r="C103" s="55"/>
      <c r="D103" s="55"/>
      <c r="E103" s="57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2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mergeCells count="10">
    <mergeCell ref="B58:F58"/>
    <mergeCell ref="B62:F62"/>
    <mergeCell ref="B67:D67"/>
    <mergeCell ref="B2:G2"/>
    <mergeCell ref="C14:F14"/>
    <mergeCell ref="C24:E24"/>
    <mergeCell ref="C27:E27"/>
    <mergeCell ref="B44:F44"/>
    <mergeCell ref="B45:F45"/>
    <mergeCell ref="B57:F57"/>
  </mergeCells>
  <dataValidations disablePrompts="1" count="2">
    <dataValidation type="list" allowBlank="1" showErrorMessage="1" sqref="C10:C13">
      <formula1>"Simple,Intermedio,Complejo"</formula1>
    </dataValidation>
    <dataValidation type="decimal" allowBlank="1" showInputMessage="1" showErrorMessage="1" prompt="Entre 1 y 9 personas." sqref="B84">
      <formula1>1</formula1>
      <formula2>9</formula2>
    </dataValidation>
  </dataValidations>
  <hyperlinks>
    <hyperlink ref="H31" r:id="rId1" location="v=onepage&amp;q=e7%20part-time%20members&amp;f=false"/>
    <hyperlink ref="H49" r:id="rId2" location="v=onepage&amp;q=e7%20part-time%20members&amp;f=false"/>
  </hyperlinks>
  <pageMargins left="0.75" right="0.75" top="1" bottom="1" header="0" footer="0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2021-09-16T15:20:38Z</dcterms:created>
  <dcterms:modified xsi:type="dcterms:W3CDTF">2025-10-30T15:23:36Z</dcterms:modified>
</cp:coreProperties>
</file>