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Probable" sheetId="1" r:id="rId4"/>
    <sheet state="visible" name="Peor Caso" sheetId="2" r:id="rId5"/>
    <sheet state="visible" name="Mejor Caso" sheetId="3" r:id="rId6"/>
  </sheets>
  <definedNames>
    <definedName localSheetId="0" name="solver_eng">1</definedName>
    <definedName localSheetId="1" name="solver_eng">1</definedName>
    <definedName localSheetId="0" name="solver_neg">1</definedName>
    <definedName localSheetId="1" name="solver_neg">1</definedName>
    <definedName localSheetId="0" name="solver_num">0</definedName>
    <definedName localSheetId="1" name="solver_num">0</definedName>
    <definedName localSheetId="0" name="solver_typ">1</definedName>
    <definedName localSheetId="1" name="solver_typ">1</definedName>
    <definedName localSheetId="0" name="solver_val">0</definedName>
    <definedName localSheetId="1" name="solver_val">0</definedName>
    <definedName localSheetId="0" name="solver_ver">3</definedName>
    <definedName localSheetId="1" name="solver_ver">3</definedName>
    <definedName localSheetId="2" name="solver_opt">'Mejor Caso'!$D$76</definedName>
    <definedName localSheetId="1" name="solver_opt">'Peor Caso'!$D$76</definedName>
    <definedName localSheetId="0" name="solver_opt">'Caso Probable'!$D$76</definedName>
  </definedNames>
  <calcPr/>
  <extLst>
    <ext uri="GoogleSheetsCustomDataVersion2">
      <go:sheetsCustomData xmlns:go="http://customooxmlschemas.google.com/" r:id="rId7" roundtripDataChecksum="G1GzarPVYEuXjww6p5IXw5gA0QCrNr3t44KxhwSBl5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4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6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53">
      <text>
        <t xml:space="preserve">======
ID#AAAA4EXGEYs
Autor    (2023-08-29 20:18:46)
¿Se requiere formación específica para los Usuarios?</t>
      </text>
    </comment>
    <comment authorId="0" ref="B48">
      <text>
        <t xml:space="preserve">======
ID#AAAA4EXGEYw
Autor    (2023-08-29 20:18:46)
¿La aplicación, debe funcionar en más de una plataforma?</t>
      </text>
    </comment>
    <comment authorId="0" ref="B42">
      <text>
        <t xml:space="preserve">======
ID#AAAA4EXGEYo
Autor    (2023-08-29 20:18:46)
¿Cuál es la importancia del tiempo de respuesta de la aplicación para el usuario final?</t>
      </text>
    </comment>
    <comment authorId="0" ref="B85">
      <text>
        <t xml:space="preserve">======
ID#AAAA4EXGEYk
Autor    (2023-08-29 20:18:46)
Análisis/Diseño/Pruebas/Sobrecarga</t>
      </text>
    </comment>
    <comment authorId="0" ref="B49">
      <text>
        <t xml:space="preserve">======
ID#AAAA4EXGEYg
Autor    (2023-08-29 20:18:46)
¿El cliente requiere que la aplicación se pueda cambiar fácilmente en el futuro?</t>
      </text>
    </comment>
    <comment authorId="0" ref="B66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7">
      <text>
        <t xml:space="preserve">======
ID#AAAA4EXGEYY
Autor    (2023-08-29 20:18:46)
¿Hay requerimientos especiales respecto de la facilidad de uso?</t>
      </text>
    </comment>
    <comment authorId="0" ref="B59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45">
      <text>
        <t xml:space="preserve">======
ID#AAAA4EXGEYQ
Autor    (2023-08-29 20:18:46)
¿La aplicación requiere diseñarse para ser altamente reusable?</t>
      </text>
    </comment>
    <comment authorId="0" ref="B65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82">
      <text>
        <t xml:space="preserve">======
ID#AAAA4EXGEYE
Autor    (2023-08-29 20:18:46)
Esta distribución es una referencia. Proyecto a proyecto debe actualizarse mediante  ESTADISTICAS.</t>
      </text>
    </comment>
    <comment authorId="0" ref="G76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60">
      <text>
        <t xml:space="preserve">======
ID#AAAA4EXGEX8
Autor    (2023-08-29 20:18:46)
¿Ya trabajado el equipo en el area (dominio) de la aplicación?</t>
      </text>
    </comment>
    <comment authorId="0" ref="B43">
      <text>
        <t xml:space="preserve">======
ID#AAAA4EXGEX4
Autor    (2023-08-29 20:18:46)
¿La aplicacion está diseñada para que el usuario incremente SU eficiencia (no solo cumpla su cometido)?</t>
      </text>
    </comment>
    <comment authorId="0" ref="B61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8">
      <text>
        <t xml:space="preserve">======
ID#AAAA4EXGEX0
Autor    (2023-08-29 20:18:46)
Lo debe sugerir el estimador.</t>
      </text>
    </comment>
    <comment authorId="0" ref="B51">
      <text>
        <t xml:space="preserve">======
ID#AAAA4EXGEXs
Autor    (2023-08-29 20:18:46)
¿Es suficiente con las prestaciones de seguridad normales, o hace falta algo especial?</t>
      </text>
    </comment>
    <comment authorId="0" ref="B63">
      <text>
        <t xml:space="preserve">======
ID#AAAA4EXGEXo
Autor    (2023-08-29 20:18:46)
Motivación del equipo.</t>
      </text>
    </comment>
    <comment authorId="0" ref="B52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41">
      <text>
        <t xml:space="preserve">======
ID#AAAA4EXGEXg
Autor    (2023-08-29 20:18:46)
¿Arquitectura centralizada o distribuida?</t>
      </text>
    </comment>
    <comment authorId="0" ref="B50">
      <text>
        <t xml:space="preserve">======
ID#AAAA4EXGEXc
Autor    (2023-08-29 20:18:46)
¿Hace falta consideraciones especiales para el acceso concurrente (paralelo) a datos y otros recursos?</t>
      </text>
    </comment>
    <comment authorId="0" ref="B62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6">
      <text>
        <t xml:space="preserve">======
ID#AAAA4EXGEXU
Autor    (2023-08-29 20:18:46)
¿La aplicación debe ser de fácil instalación (para usuarios sin capacidad técnica) o no?</t>
      </text>
    </comment>
    <comment authorId="0" ref="B44">
      <text>
        <t xml:space="preserve">======
ID#AAAA4EXGEXQ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jnR2fcGCUotevhcokOeDvo+zhlgw=="/>
    </ext>
  </extLst>
</comments>
</file>

<file path=xl/sharedStrings.xml><?xml version="1.0" encoding="utf-8"?>
<sst xmlns="http://schemas.openxmlformats.org/spreadsheetml/2006/main" count="532" uniqueCount="139">
  <si>
    <t>ESTIMACIÓN por PUNTOS de CASO de USO</t>
  </si>
  <si>
    <t>Proyecto:</t>
  </si>
  <si>
    <t>GRCU Manager</t>
  </si>
  <si>
    <t>Gestor de Proyecto:</t>
  </si>
  <si>
    <t>4BYTES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</si>
  <si>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</si>
  <si>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</si>
  <si>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</si>
  <si>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</si>
  <si>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</si>
  <si>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</si>
  <si>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</si>
  <si>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Docente Administrador</t>
  </si>
  <si>
    <t>Complejo</t>
  </si>
  <si>
    <t>Encargado de la gestión de usuarios y creación de proyectos</t>
  </si>
  <si>
    <t>Desarrollador</t>
  </si>
  <si>
    <t>Encargado de la gestión de requerimientos y casos de usos</t>
  </si>
  <si>
    <t>Lider de proyecto</t>
  </si>
  <si>
    <t>Intermedio</t>
  </si>
  <si>
    <t>Integrante designado para coordinar el equipo. Define metodología, valida requerimientos, prioriza y consolida informes.</t>
  </si>
  <si>
    <t>Visitante</t>
  </si>
  <si>
    <t>Simple</t>
  </si>
  <si>
    <t xml:space="preserve">Navega por el sistema y solicita reportes </t>
  </si>
  <si>
    <t>Cliente</t>
  </si>
  <si>
    <t>Navega en el sistema, permitiéndole adjuntar documentos o archivos externos y  validar los requerimientos</t>
  </si>
  <si>
    <t xml:space="preserve">Peso Total Actores, sin ajustar (UAW) </t>
  </si>
  <si>
    <t xml:space="preserve">
</t>
  </si>
  <si>
    <t>2. PESO DE LOS CU</t>
  </si>
  <si>
    <t>Casos de Uso</t>
  </si>
  <si>
    <t>Comentario</t>
  </si>
  <si>
    <t>Número de transacciones</t>
  </si>
  <si>
    <t>Complejidad</t>
  </si>
  <si>
    <t>CU04: Asignar roles de usuario al proyecto</t>
  </si>
  <si>
    <t>1 Pantalla, 1 extensión, 1BD</t>
  </si>
  <si>
    <t>CU05: Seleccionar metodología</t>
  </si>
  <si>
    <t>1 Pantalla,  1 extension, 1BD</t>
  </si>
  <si>
    <t>CU06: Registrar Requerimiento</t>
  </si>
  <si>
    <t>1 Pantalla, 1 extensión, 4 validaciones, 1BD</t>
  </si>
  <si>
    <t>CU07: Priorizar Requerimiento</t>
  </si>
  <si>
    <t>CU08: Consultar Historial de Requerimiento</t>
  </si>
  <si>
    <t>1 Pantalla, 1 extensión, 1 BD</t>
  </si>
  <si>
    <t>CU09: Registrar Caso de Uso</t>
  </si>
  <si>
    <t>1 Pantalla, 1 extensión, 6 validaciones, 1 BD</t>
  </si>
  <si>
    <t>CU10: Consultar Historial de Caso de Uso</t>
  </si>
  <si>
    <t>CU11: Definir dependencias</t>
  </si>
  <si>
    <t>CU12: Validar requerimiento</t>
  </si>
  <si>
    <t>CU13: Comentar requerimiento</t>
  </si>
  <si>
    <t>1 Pantalla, 2 extensión, 1 BD</t>
  </si>
  <si>
    <t>CU14: Adjuntar archivo al comentario</t>
  </si>
  <si>
    <t>1 Pantalla, 3 extensión, 1 BD</t>
  </si>
  <si>
    <t>CU15: Visualizar trazabilidad interactiva</t>
  </si>
  <si>
    <t>CU16: Generar Informe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</si>
  <si>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</si>
  <si>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</si>
  <si>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</si>
  <si>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</si>
  <si>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</si>
  <si>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</si>
  <si>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</si>
  <si>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</si>
  <si>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</si>
  <si>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</si>
  <si>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</si>
  <si>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</si>
  <si>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</si>
  <si>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2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</si>
  <si>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</si>
  <si>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</si>
  <si>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</si>
  <si>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</si>
  <si>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</si>
  <si>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</si>
  <si>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</si>
  <si>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</si>
  <si>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</si>
  <si>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</si>
  <si>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</si>
  <si>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</si>
  <si>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</si>
  <si>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</si>
  <si>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</si>
  <si>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</si>
  <si>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</si>
  <si>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</si>
  <si>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</si>
  <si>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</si>
  <si>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</si>
  <si>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</si>
  <si>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</si>
  <si>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</si>
  <si>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</si>
  <si>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</si>
  <si>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</si>
  <si>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</si>
  <si>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</si>
  <si>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</si>
  <si>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</si>
  <si>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</si>
  <si>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</si>
  <si>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</si>
  <si>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</si>
  <si>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</si>
  <si>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</si>
  <si>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</si>
  <si>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</si>
  <si>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</si>
  <si>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</si>
  <si>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</si>
  <si>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</si>
  <si>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</si>
  <si>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</si>
  <si>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</si>
  <si>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</si>
  <si>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</si>
  <si>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</si>
  <si>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</si>
  <si>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</si>
  <si>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</si>
  <si>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</si>
  <si>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</si>
  <si>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Propia
(h-h)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</si>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</sst>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horizontal="left"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0" fillId="3" fontId="5" numFmtId="0" xfId="0" applyAlignment="1" applyBorder="1" applyFont="1">
      <alignment readingOrder="0" vertical="center"/>
    </xf>
    <xf borderId="10" fillId="3" fontId="5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2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9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3" fillId="5" fontId="10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49" xfId="0" applyAlignment="1" applyBorder="1" applyFont="1" applyNumberFormat="1">
      <alignment horizontal="center" readingOrder="0" shrinkToFit="0" vertical="center" wrapText="1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4" numFmtId="164" xfId="0" applyAlignment="1" applyBorder="1" applyFont="1" applyNumberFormat="1">
      <alignment horizontal="center" readingOrder="0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1" numFmtId="9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74</xdr:row>
      <xdr:rowOff>438150</xdr:rowOff>
    </xdr:from>
    <xdr:ext cx="4381500" cy="2667000"/>
    <xdr:grpSp>
      <xdr:nvGrpSpPr>
        <xdr:cNvPr id="2" name="Shape 2"/>
        <xdr:cNvGrpSpPr/>
      </xdr:nvGrpSpPr>
      <xdr:grpSpPr>
        <a:xfrm>
          <a:off x="3155250" y="2446500"/>
          <a:ext cx="4381500" cy="2667000"/>
          <a:chOff x="3155250" y="2446500"/>
          <a:chExt cx="4381500" cy="2667000"/>
        </a:xfrm>
      </xdr:grpSpPr>
      <xdr:grpSp>
        <xdr:nvGrpSpPr>
          <xdr:cNvPr id="3" name="Shape 3"/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>
          <xdr:nvSpPr>
            <xdr:cNvPr id="4" name="Shape 4"/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>
            <xdr:nvSpPr>
              <xdr:cNvPr id="6" name="Shape 6"/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cap="flat" cmpd="sng" w="9525">
                      <a:solidFill>
                        <a:srgbClr val="4A7DBA"/>
                      </a:solidFill>
                      <a:prstDash val="solid"/>
                      <a:round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74</xdr:row>
      <xdr:rowOff>438150</xdr:rowOff>
    </xdr:from>
    <xdr:ext cx="4381500" cy="2667000"/>
    <xdr:grpSp>
      <xdr:nvGrpSpPr>
        <xdr:cNvPr id="2" name="Shape 2"/>
        <xdr:cNvGrpSpPr/>
      </xdr:nvGrpSpPr>
      <xdr:grpSpPr>
        <a:xfrm>
          <a:off x="3155250" y="2446500"/>
          <a:ext cx="4381500" cy="2667000"/>
          <a:chOff x="3155250" y="2446500"/>
          <a:chExt cx="4381500" cy="2667000"/>
        </a:xfrm>
      </xdr:grpSpPr>
      <xdr:grpSp>
        <xdr:nvGrpSpPr>
          <xdr:cNvPr id="3" name="Shape 3"/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>
          <xdr:nvSpPr>
            <xdr:cNvPr id="4" name="Shape 4"/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>
            <xdr:nvSpPr>
              <xdr:cNvPr id="6" name="Shape 6"/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cap="flat" cmpd="sng" w="9525">
                      <a:solidFill>
                        <a:srgbClr val="4A7DBA"/>
                      </a:solidFill>
                      <a:prstDash val="solid"/>
                      <a:round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74</xdr:row>
      <xdr:rowOff>438150</xdr:rowOff>
    </xdr:from>
    <xdr:ext cx="4381500" cy="2667000"/>
    <xdr:grpSp>
      <xdr:nvGrpSpPr>
        <xdr:cNvPr id="2" name="Shape 2"/>
        <xdr:cNvGrpSpPr/>
      </xdr:nvGrpSpPr>
      <xdr:grpSpPr>
        <a:xfrm>
          <a:off x="3155250" y="2446500"/>
          <a:ext cx="4381500" cy="2667000"/>
          <a:chOff x="3155250" y="2446500"/>
          <a:chExt cx="4381500" cy="2667000"/>
        </a:xfrm>
      </xdr:grpSpPr>
      <xdr:grpSp>
        <xdr:nvGrpSpPr>
          <xdr:cNvPr id="3" name="Shape 3"/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>
          <xdr:nvSpPr>
            <xdr:cNvPr id="4" name="Shape 4"/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>
            <xdr:nvSpPr>
              <xdr:cNvPr id="6" name="Shape 6"/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cap="flat" cmpd="sng" w="9525">
                      <a:solidFill>
                        <a:srgbClr val="4A7DBA"/>
                      </a:solidFill>
                      <a:prstDash val="solid"/>
                      <a:round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51.13"/>
    <col customWidth="1" min="3" max="3" width="42.75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 t="shared" ref="E8:E12" si="1">IF(C8="Simple",1,IF(C8="Intermedio",2,IF(C8="Complejo",3,"error")))</f>
        <v>3</v>
      </c>
      <c r="F8" s="25">
        <v>1.0</v>
      </c>
      <c r="G8" s="24">
        <f t="shared" ref="G8:G12" si="2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"/>
      <c r="B9" s="21" t="s">
        <v>15</v>
      </c>
      <c r="C9" s="22" t="s">
        <v>13</v>
      </c>
      <c r="D9" s="26" t="s">
        <v>16</v>
      </c>
      <c r="E9" s="24">
        <f t="shared" si="1"/>
        <v>3</v>
      </c>
      <c r="F9" s="25">
        <v>3.0</v>
      </c>
      <c r="G9" s="24">
        <f t="shared" si="2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6" t="s">
        <v>19</v>
      </c>
      <c r="E10" s="24">
        <f t="shared" si="1"/>
        <v>2</v>
      </c>
      <c r="F10" s="25">
        <v>1.0</v>
      </c>
      <c r="G10" s="24">
        <f t="shared" si="2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21</v>
      </c>
      <c r="D11" s="26" t="s">
        <v>22</v>
      </c>
      <c r="E11" s="24">
        <f t="shared" si="1"/>
        <v>1</v>
      </c>
      <c r="F11" s="25">
        <v>1.0</v>
      </c>
      <c r="G11" s="24">
        <f t="shared" si="2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1" t="s">
        <v>23</v>
      </c>
      <c r="C12" s="22" t="s">
        <v>21</v>
      </c>
      <c r="D12" s="26" t="s">
        <v>24</v>
      </c>
      <c r="E12" s="24">
        <f t="shared" si="1"/>
        <v>1</v>
      </c>
      <c r="F12" s="25">
        <v>1.0</v>
      </c>
      <c r="G12" s="24">
        <f t="shared" si="2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7"/>
      <c r="C13" s="28" t="s">
        <v>25</v>
      </c>
      <c r="D13" s="6"/>
      <c r="E13" s="6"/>
      <c r="F13" s="7"/>
      <c r="G13" s="29">
        <f>SUM(G8:G12)</f>
        <v>16</v>
      </c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0" t="s">
        <v>26</v>
      </c>
      <c r="D14" s="3"/>
      <c r="E14" s="3"/>
      <c r="F14" s="3"/>
      <c r="G14" s="31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8"/>
      <c r="C15" s="32"/>
      <c r="D15" s="32"/>
      <c r="E15" s="33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8" t="s">
        <v>27</v>
      </c>
      <c r="B16" s="19" t="s">
        <v>28</v>
      </c>
      <c r="C16" s="19" t="s">
        <v>29</v>
      </c>
      <c r="D16" s="20" t="s">
        <v>30</v>
      </c>
      <c r="E16" s="20" t="s">
        <v>31</v>
      </c>
      <c r="F16" s="19" t="s">
        <v>9</v>
      </c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1"/>
      <c r="V16" s="1"/>
      <c r="W16" s="1"/>
      <c r="X16" s="1"/>
      <c r="Y16" s="1"/>
      <c r="Z16" s="1"/>
    </row>
    <row r="17" ht="27.75" customHeight="1">
      <c r="A17" s="1"/>
      <c r="B17" s="35" t="s">
        <v>32</v>
      </c>
      <c r="C17" s="36" t="s">
        <v>33</v>
      </c>
      <c r="D17" s="36">
        <v>3.0</v>
      </c>
      <c r="E17" s="37" t="str">
        <f t="shared" ref="E17:E29" si="3">IF($D17&gt;0,IF($D17&lt;=3,"Simple",IF(AND($D17&gt;3,$D17&lt;7),"Intermedio",IF($D17&gt;=7,"Complejo","error"))),"-")</f>
        <v>Simple</v>
      </c>
      <c r="F17" s="24">
        <f t="shared" ref="F17:F29" si="4">IF($D17&gt;0,IF($D17&lt;=3,5,IF(AND($D17&gt;3,$D17&lt;7),10,IF($D17&gt;=7,15,"error"))),0)</f>
        <v>5</v>
      </c>
      <c r="G17" s="1"/>
      <c r="H17" s="1"/>
      <c r="I17" s="1"/>
      <c r="J17" s="1"/>
      <c r="K17" s="34"/>
      <c r="L17" s="1"/>
      <c r="M17" s="1"/>
      <c r="N17" s="1"/>
      <c r="O17" s="1"/>
      <c r="P17" s="1"/>
      <c r="Q17" s="1"/>
      <c r="R17" s="1"/>
      <c r="S17" s="1"/>
      <c r="T17" s="34"/>
      <c r="U17" s="1"/>
      <c r="V17" s="1"/>
      <c r="W17" s="1"/>
      <c r="X17" s="1"/>
      <c r="Y17" s="1"/>
      <c r="Z17" s="1"/>
    </row>
    <row r="18" ht="27.75" customHeight="1">
      <c r="A18" s="1"/>
      <c r="B18" s="35" t="s">
        <v>34</v>
      </c>
      <c r="C18" s="36" t="s">
        <v>35</v>
      </c>
      <c r="D18" s="36">
        <v>3.0</v>
      </c>
      <c r="E18" s="37" t="str">
        <f t="shared" si="3"/>
        <v>Simple</v>
      </c>
      <c r="F18" s="24">
        <f t="shared" si="4"/>
        <v>5</v>
      </c>
      <c r="G18" s="1"/>
      <c r="H18" s="1"/>
      <c r="I18" s="1"/>
      <c r="J18" s="1"/>
      <c r="K18" s="34"/>
      <c r="L18" s="1"/>
      <c r="M18" s="1"/>
      <c r="N18" s="1"/>
      <c r="O18" s="1"/>
      <c r="P18" s="1"/>
      <c r="Q18" s="1"/>
      <c r="R18" s="1"/>
      <c r="S18" s="1"/>
      <c r="T18" s="34"/>
      <c r="U18" s="1"/>
      <c r="V18" s="1"/>
      <c r="W18" s="1"/>
      <c r="X18" s="1"/>
      <c r="Y18" s="1"/>
      <c r="Z18" s="1"/>
    </row>
    <row r="19" ht="27.75" customHeight="1">
      <c r="A19" s="1"/>
      <c r="B19" s="35" t="s">
        <v>36</v>
      </c>
      <c r="C19" s="36" t="s">
        <v>37</v>
      </c>
      <c r="D19" s="36">
        <v>7.0</v>
      </c>
      <c r="E19" s="37" t="str">
        <f t="shared" si="3"/>
        <v>Complejo</v>
      </c>
      <c r="F19" s="24">
        <f t="shared" si="4"/>
        <v>15</v>
      </c>
      <c r="G19" s="1"/>
      <c r="H19" s="1"/>
      <c r="I19" s="1"/>
      <c r="J19" s="1"/>
      <c r="K19" s="34"/>
      <c r="L19" s="1"/>
      <c r="M19" s="1"/>
      <c r="N19" s="1"/>
      <c r="O19" s="1"/>
      <c r="P19" s="1"/>
      <c r="Q19" s="1"/>
      <c r="R19" s="1"/>
      <c r="S19" s="1"/>
      <c r="T19" s="34"/>
      <c r="U19" s="1"/>
      <c r="V19" s="1"/>
      <c r="W19" s="1"/>
      <c r="X19" s="1"/>
      <c r="Y19" s="1"/>
      <c r="Z19" s="1"/>
    </row>
    <row r="20" ht="27.75" customHeight="1">
      <c r="A20" s="1"/>
      <c r="B20" s="35" t="s">
        <v>38</v>
      </c>
      <c r="C20" s="36" t="s">
        <v>33</v>
      </c>
      <c r="D20" s="36">
        <v>3.0</v>
      </c>
      <c r="E20" s="37" t="str">
        <f t="shared" si="3"/>
        <v>Simple</v>
      </c>
      <c r="F20" s="24">
        <f t="shared" si="4"/>
        <v>5</v>
      </c>
      <c r="G20" s="1"/>
      <c r="H20" s="1"/>
      <c r="I20" s="1"/>
      <c r="J20" s="1"/>
      <c r="K20" s="34"/>
      <c r="L20" s="1"/>
      <c r="M20" s="1"/>
      <c r="N20" s="1"/>
      <c r="O20" s="1"/>
      <c r="P20" s="1"/>
      <c r="Q20" s="1"/>
      <c r="R20" s="1"/>
      <c r="S20" s="1"/>
      <c r="T20" s="34"/>
      <c r="U20" s="1"/>
      <c r="V20" s="1"/>
      <c r="W20" s="1"/>
      <c r="X20" s="1"/>
      <c r="Y20" s="1"/>
      <c r="Z20" s="1"/>
    </row>
    <row r="21" ht="27.75" customHeight="1">
      <c r="A21" s="1"/>
      <c r="B21" s="35" t="s">
        <v>39</v>
      </c>
      <c r="C21" s="36" t="s">
        <v>40</v>
      </c>
      <c r="D21" s="36">
        <v>3.0</v>
      </c>
      <c r="E21" s="37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4"/>
      <c r="L21" s="1"/>
      <c r="M21" s="1"/>
      <c r="N21" s="1"/>
      <c r="O21" s="1"/>
      <c r="P21" s="1"/>
      <c r="Q21" s="1"/>
      <c r="R21" s="1"/>
      <c r="S21" s="1"/>
      <c r="T21" s="34"/>
      <c r="U21" s="1"/>
      <c r="V21" s="1"/>
      <c r="W21" s="1"/>
      <c r="X21" s="1"/>
      <c r="Y21" s="1"/>
      <c r="Z21" s="1"/>
    </row>
    <row r="22" ht="27.75" customHeight="1">
      <c r="A22" s="1"/>
      <c r="B22" s="35" t="s">
        <v>41</v>
      </c>
      <c r="C22" s="36" t="s">
        <v>42</v>
      </c>
      <c r="D22" s="36">
        <v>8.0</v>
      </c>
      <c r="E22" s="37" t="str">
        <f t="shared" si="3"/>
        <v>Complejo</v>
      </c>
      <c r="F22" s="24">
        <f t="shared" si="4"/>
        <v>15</v>
      </c>
      <c r="G22" s="1"/>
      <c r="H22" s="1"/>
      <c r="I22" s="1"/>
      <c r="J22" s="1"/>
      <c r="K22" s="34"/>
      <c r="L22" s="1"/>
      <c r="M22" s="1"/>
      <c r="N22" s="1"/>
      <c r="O22" s="1"/>
      <c r="P22" s="1"/>
      <c r="Q22" s="1"/>
      <c r="R22" s="1"/>
      <c r="S22" s="1"/>
      <c r="T22" s="34"/>
      <c r="U22" s="1"/>
      <c r="V22" s="1"/>
      <c r="W22" s="1"/>
      <c r="X22" s="1"/>
      <c r="Y22" s="1"/>
      <c r="Z22" s="1"/>
    </row>
    <row r="23" ht="27.75" customHeight="1">
      <c r="A23" s="1"/>
      <c r="B23" s="35" t="s">
        <v>43</v>
      </c>
      <c r="C23" s="36" t="s">
        <v>40</v>
      </c>
      <c r="D23" s="36">
        <v>3.0</v>
      </c>
      <c r="E23" s="37" t="str">
        <f t="shared" si="3"/>
        <v>Simple</v>
      </c>
      <c r="F23" s="24">
        <f t="shared" si="4"/>
        <v>5</v>
      </c>
      <c r="G23" s="1"/>
      <c r="H23" s="1"/>
      <c r="I23" s="1"/>
      <c r="J23" s="1"/>
      <c r="K23" s="34"/>
      <c r="L23" s="1"/>
      <c r="M23" s="1"/>
      <c r="N23" s="1"/>
      <c r="O23" s="1"/>
      <c r="P23" s="1"/>
      <c r="Q23" s="1"/>
      <c r="R23" s="1"/>
      <c r="S23" s="1"/>
      <c r="T23" s="34"/>
      <c r="U23" s="1"/>
      <c r="V23" s="1"/>
      <c r="W23" s="1"/>
      <c r="X23" s="1"/>
      <c r="Y23" s="1"/>
      <c r="Z23" s="1"/>
    </row>
    <row r="24" ht="27.75" customHeight="1">
      <c r="A24" s="1"/>
      <c r="B24" s="38" t="s">
        <v>44</v>
      </c>
      <c r="C24" s="36" t="s">
        <v>40</v>
      </c>
      <c r="D24" s="36">
        <v>3.0</v>
      </c>
      <c r="E24" s="37" t="str">
        <f t="shared" si="3"/>
        <v>Simple</v>
      </c>
      <c r="F24" s="24">
        <f t="shared" si="4"/>
        <v>5</v>
      </c>
      <c r="G24" s="1"/>
      <c r="H24" s="1"/>
      <c r="I24" s="1"/>
      <c r="J24" s="1"/>
      <c r="K24" s="34"/>
      <c r="L24" s="1"/>
      <c r="M24" s="1"/>
      <c r="N24" s="1"/>
      <c r="O24" s="1"/>
      <c r="P24" s="1"/>
      <c r="Q24" s="1"/>
      <c r="R24" s="1"/>
      <c r="S24" s="1"/>
      <c r="T24" s="34"/>
      <c r="U24" s="1"/>
      <c r="V24" s="1"/>
      <c r="W24" s="1"/>
      <c r="X24" s="1"/>
      <c r="Y24" s="1"/>
      <c r="Z24" s="1"/>
    </row>
    <row r="25" ht="27.75" customHeight="1">
      <c r="A25" s="1"/>
      <c r="B25" s="35" t="s">
        <v>45</v>
      </c>
      <c r="C25" s="36" t="s">
        <v>40</v>
      </c>
      <c r="D25" s="36">
        <v>3.0</v>
      </c>
      <c r="E25" s="37" t="str">
        <f t="shared" si="3"/>
        <v>Simple</v>
      </c>
      <c r="F25" s="24">
        <f t="shared" si="4"/>
        <v>5</v>
      </c>
      <c r="G25" s="1"/>
      <c r="H25" s="1"/>
      <c r="I25" s="1"/>
      <c r="J25" s="1"/>
      <c r="K25" s="34"/>
      <c r="L25" s="1"/>
      <c r="M25" s="1"/>
      <c r="N25" s="1"/>
      <c r="O25" s="1"/>
      <c r="P25" s="1"/>
      <c r="Q25" s="1"/>
      <c r="R25" s="1"/>
      <c r="S25" s="1"/>
      <c r="T25" s="34"/>
      <c r="U25" s="1"/>
      <c r="V25" s="1"/>
      <c r="W25" s="1"/>
      <c r="X25" s="1"/>
      <c r="Y25" s="1"/>
      <c r="Z25" s="1"/>
    </row>
    <row r="26" ht="27.75" customHeight="1">
      <c r="A26" s="1"/>
      <c r="B26" s="35" t="s">
        <v>46</v>
      </c>
      <c r="C26" s="36" t="s">
        <v>47</v>
      </c>
      <c r="D26" s="36">
        <v>4.0</v>
      </c>
      <c r="E26" s="37" t="str">
        <f t="shared" si="3"/>
        <v>Intermedio</v>
      </c>
      <c r="F26" s="24">
        <f t="shared" si="4"/>
        <v>10</v>
      </c>
      <c r="G26" s="1"/>
      <c r="H26" s="1"/>
      <c r="I26" s="1"/>
      <c r="J26" s="1"/>
      <c r="K26" s="34"/>
      <c r="L26" s="1"/>
      <c r="M26" s="1"/>
      <c r="N26" s="1"/>
      <c r="O26" s="1"/>
      <c r="P26" s="1"/>
      <c r="Q26" s="1"/>
      <c r="R26" s="1"/>
      <c r="S26" s="1"/>
      <c r="T26" s="34"/>
      <c r="U26" s="1"/>
      <c r="V26" s="1"/>
      <c r="W26" s="1"/>
      <c r="X26" s="1"/>
      <c r="Y26" s="1"/>
      <c r="Z26" s="1"/>
    </row>
    <row r="27" ht="27.75" customHeight="1">
      <c r="A27" s="1"/>
      <c r="B27" s="35" t="s">
        <v>48</v>
      </c>
      <c r="C27" s="36" t="s">
        <v>49</v>
      </c>
      <c r="D27" s="36">
        <v>4.0</v>
      </c>
      <c r="E27" s="37" t="str">
        <f t="shared" si="3"/>
        <v>Intermedio</v>
      </c>
      <c r="F27" s="24">
        <f t="shared" si="4"/>
        <v>10</v>
      </c>
      <c r="G27" s="1"/>
      <c r="H27" s="1"/>
      <c r="I27" s="1"/>
      <c r="J27" s="1"/>
      <c r="K27" s="34"/>
      <c r="L27" s="1"/>
      <c r="M27" s="1"/>
      <c r="N27" s="1"/>
      <c r="O27" s="1"/>
      <c r="P27" s="1"/>
      <c r="Q27" s="1"/>
      <c r="R27" s="1"/>
      <c r="S27" s="1"/>
      <c r="T27" s="34"/>
      <c r="U27" s="1"/>
      <c r="V27" s="1"/>
      <c r="W27" s="1"/>
      <c r="X27" s="1"/>
      <c r="Y27" s="1"/>
      <c r="Z27" s="1"/>
    </row>
    <row r="28" ht="27.75" customHeight="1">
      <c r="A28" s="1"/>
      <c r="B28" s="35" t="s">
        <v>50</v>
      </c>
      <c r="C28" s="36" t="s">
        <v>40</v>
      </c>
      <c r="D28" s="39">
        <v>7.0</v>
      </c>
      <c r="E28" s="37" t="str">
        <f t="shared" si="3"/>
        <v>Complejo</v>
      </c>
      <c r="F28" s="24">
        <f t="shared" si="4"/>
        <v>15</v>
      </c>
      <c r="G28" s="1"/>
      <c r="H28" s="1"/>
      <c r="I28" s="1"/>
      <c r="J28" s="1"/>
      <c r="K28" s="34"/>
      <c r="L28" s="1"/>
      <c r="M28" s="1"/>
      <c r="N28" s="1"/>
      <c r="O28" s="1"/>
      <c r="P28" s="1"/>
      <c r="Q28" s="1"/>
      <c r="R28" s="1"/>
      <c r="S28" s="1"/>
      <c r="T28" s="34"/>
      <c r="U28" s="1"/>
      <c r="V28" s="1"/>
      <c r="W28" s="1"/>
      <c r="X28" s="1"/>
      <c r="Y28" s="1"/>
      <c r="Z28" s="1"/>
    </row>
    <row r="29" ht="27.75" customHeight="1">
      <c r="A29" s="1"/>
      <c r="B29" s="35" t="s">
        <v>51</v>
      </c>
      <c r="C29" s="36" t="s">
        <v>40</v>
      </c>
      <c r="D29" s="36">
        <v>3.0</v>
      </c>
      <c r="E29" s="37" t="str">
        <f t="shared" si="3"/>
        <v>Simple</v>
      </c>
      <c r="F29" s="24">
        <f t="shared" si="4"/>
        <v>5</v>
      </c>
      <c r="G29" s="1"/>
      <c r="H29" s="1"/>
      <c r="I29" s="1"/>
      <c r="J29" s="1"/>
      <c r="K29" s="34"/>
      <c r="L29" s="1"/>
      <c r="M29" s="1"/>
      <c r="N29" s="1"/>
      <c r="O29" s="1"/>
      <c r="P29" s="1"/>
      <c r="Q29" s="1"/>
      <c r="R29" s="1"/>
      <c r="S29" s="1"/>
      <c r="T29" s="34"/>
      <c r="U29" s="1"/>
      <c r="V29" s="1"/>
      <c r="W29" s="1"/>
      <c r="X29" s="1"/>
      <c r="Y29" s="1"/>
      <c r="Z29" s="1"/>
    </row>
    <row r="30" ht="27.75" customHeight="1">
      <c r="A30" s="1"/>
      <c r="B30" s="40"/>
      <c r="C30" s="41" t="s">
        <v>52</v>
      </c>
      <c r="D30" s="42"/>
      <c r="E30" s="43"/>
      <c r="F30" s="44">
        <f>SUM(F17:F29)</f>
        <v>105</v>
      </c>
      <c r="G30" s="1"/>
      <c r="H30" s="1"/>
      <c r="I30" s="1"/>
      <c r="J30" s="1"/>
      <c r="K30" s="34"/>
      <c r="L30" s="1"/>
      <c r="M30" s="1"/>
      <c r="N30" s="1"/>
      <c r="O30" s="1"/>
      <c r="P30" s="1"/>
      <c r="Q30" s="1"/>
      <c r="R30" s="1"/>
      <c r="S30" s="1"/>
      <c r="T30" s="34"/>
      <c r="U30" s="1"/>
      <c r="V30" s="1"/>
      <c r="W30" s="1"/>
      <c r="X30" s="1"/>
      <c r="Y30" s="1"/>
      <c r="Z30" s="1"/>
    </row>
    <row r="31" ht="27.75" customHeight="1">
      <c r="A31" s="1"/>
      <c r="G31" s="1"/>
      <c r="H31" s="1"/>
      <c r="I31" s="1"/>
      <c r="J31" s="1"/>
      <c r="K31" s="34"/>
      <c r="L31" s="1"/>
      <c r="M31" s="1"/>
      <c r="N31" s="1"/>
      <c r="O31" s="1"/>
      <c r="P31" s="1"/>
      <c r="Q31" s="1"/>
      <c r="R31" s="1"/>
      <c r="S31" s="1"/>
      <c r="T31" s="34"/>
      <c r="U31" s="1"/>
      <c r="V31" s="1"/>
      <c r="W31" s="1"/>
      <c r="X31" s="1"/>
      <c r="Y31" s="1"/>
      <c r="Z31" s="1"/>
    </row>
    <row r="32" ht="27.75" customHeight="1">
      <c r="A32" s="1"/>
      <c r="G32" s="1"/>
      <c r="H32" s="1"/>
      <c r="I32" s="1"/>
      <c r="J32" s="1"/>
      <c r="K32" s="34"/>
      <c r="L32" s="1"/>
      <c r="M32" s="1"/>
      <c r="N32" s="1"/>
      <c r="O32" s="1"/>
      <c r="P32" s="1"/>
      <c r="Q32" s="1"/>
      <c r="R32" s="1"/>
      <c r="S32" s="1"/>
      <c r="T32" s="34"/>
      <c r="U32" s="1"/>
      <c r="V32" s="1"/>
      <c r="W32" s="1"/>
      <c r="X32" s="1"/>
      <c r="Y32" s="1"/>
      <c r="Z32" s="1"/>
    </row>
    <row r="33" ht="27.75" customHeight="1">
      <c r="A33" s="1"/>
      <c r="G33" s="1"/>
      <c r="H33" s="1"/>
      <c r="I33" s="1"/>
      <c r="J33" s="1"/>
      <c r="K33" s="34"/>
      <c r="L33" s="1"/>
      <c r="M33" s="1"/>
      <c r="N33" s="1"/>
      <c r="O33" s="1"/>
      <c r="P33" s="1"/>
      <c r="Q33" s="1"/>
      <c r="R33" s="1"/>
      <c r="S33" s="1"/>
      <c r="T33" s="34"/>
      <c r="U33" s="1"/>
      <c r="V33" s="1"/>
      <c r="W33" s="1"/>
      <c r="X33" s="1"/>
      <c r="Y33" s="1"/>
      <c r="Z33" s="1"/>
    </row>
    <row r="34" ht="27.75" customHeight="1">
      <c r="A34" s="18" t="s">
        <v>53</v>
      </c>
      <c r="B34" s="45"/>
      <c r="C34" s="28" t="s">
        <v>54</v>
      </c>
      <c r="D34" s="6"/>
      <c r="E34" s="7"/>
      <c r="F34" s="29">
        <f>G13+F30</f>
        <v>121</v>
      </c>
      <c r="G34" s="1"/>
      <c r="H34" s="18"/>
      <c r="I34" s="1"/>
      <c r="J34" s="1"/>
      <c r="K34" s="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G37" s="1"/>
      <c r="H37" s="1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3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8" t="s">
        <v>55</v>
      </c>
      <c r="B40" s="20" t="s">
        <v>56</v>
      </c>
      <c r="C40" s="20" t="s">
        <v>57</v>
      </c>
      <c r="D40" s="19" t="s">
        <v>58</v>
      </c>
      <c r="E40" s="19" t="s">
        <v>9</v>
      </c>
      <c r="F40" s="19" t="s">
        <v>59</v>
      </c>
      <c r="G40" s="19" t="s">
        <v>60</v>
      </c>
      <c r="H40" s="1" t="s">
        <v>61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75" customHeight="1">
      <c r="A41" s="1"/>
      <c r="B41" s="46" t="s">
        <v>62</v>
      </c>
      <c r="C41" s="46" t="s">
        <v>63</v>
      </c>
      <c r="D41" s="47" t="s">
        <v>64</v>
      </c>
      <c r="E41" s="48" t="s">
        <v>65</v>
      </c>
      <c r="F41" s="25">
        <v>0.0</v>
      </c>
      <c r="G41" s="49">
        <f t="shared" ref="G41:G53" si="5">E41*F41</f>
        <v>0</v>
      </c>
      <c r="H41" s="50" t="s">
        <v>66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6" t="s">
        <v>67</v>
      </c>
      <c r="C42" s="46" t="s">
        <v>63</v>
      </c>
      <c r="D42" s="47" t="s">
        <v>64</v>
      </c>
      <c r="E42" s="49">
        <v>2.0</v>
      </c>
      <c r="F42" s="25">
        <v>3.0</v>
      </c>
      <c r="G42" s="49">
        <f t="shared" si="5"/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6" t="s">
        <v>68</v>
      </c>
      <c r="C43" s="46" t="s">
        <v>63</v>
      </c>
      <c r="D43" s="47" t="s">
        <v>64</v>
      </c>
      <c r="E43" s="49">
        <v>1.0</v>
      </c>
      <c r="F43" s="25">
        <v>5.0</v>
      </c>
      <c r="G43" s="49">
        <f t="shared" si="5"/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6" t="s">
        <v>69</v>
      </c>
      <c r="C44" s="46" t="s">
        <v>63</v>
      </c>
      <c r="D44" s="47" t="s">
        <v>64</v>
      </c>
      <c r="E44" s="49">
        <v>1.0</v>
      </c>
      <c r="F44" s="25">
        <v>4.0</v>
      </c>
      <c r="G44" s="49">
        <f t="shared" si="5"/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6" t="s">
        <v>70</v>
      </c>
      <c r="C45" s="46" t="s">
        <v>63</v>
      </c>
      <c r="D45" s="47" t="s">
        <v>64</v>
      </c>
      <c r="E45" s="48">
        <v>1.0</v>
      </c>
      <c r="F45" s="25">
        <v>2.0</v>
      </c>
      <c r="G45" s="49">
        <f t="shared" si="5"/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6" t="s">
        <v>71</v>
      </c>
      <c r="C46" s="46" t="s">
        <v>63</v>
      </c>
      <c r="D46" s="47" t="s">
        <v>64</v>
      </c>
      <c r="E46" s="48">
        <v>0.5</v>
      </c>
      <c r="F46" s="25">
        <v>2.0</v>
      </c>
      <c r="G46" s="49">
        <f t="shared" si="5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6" t="s">
        <v>72</v>
      </c>
      <c r="C47" s="46" t="s">
        <v>63</v>
      </c>
      <c r="D47" s="47" t="s">
        <v>64</v>
      </c>
      <c r="E47" s="48">
        <v>0.5</v>
      </c>
      <c r="F47" s="25">
        <v>3.0</v>
      </c>
      <c r="G47" s="49">
        <f t="shared" si="5"/>
        <v>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46" t="s">
        <v>73</v>
      </c>
      <c r="C48" s="46" t="s">
        <v>63</v>
      </c>
      <c r="D48" s="47" t="s">
        <v>64</v>
      </c>
      <c r="E48" s="48">
        <v>2.0</v>
      </c>
      <c r="F48" s="25">
        <v>1.0</v>
      </c>
      <c r="G48" s="49">
        <f t="shared" si="5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46" t="s">
        <v>74</v>
      </c>
      <c r="C49" s="46" t="s">
        <v>63</v>
      </c>
      <c r="D49" s="47" t="s">
        <v>64</v>
      </c>
      <c r="E49" s="48">
        <v>1.0</v>
      </c>
      <c r="F49" s="25">
        <v>2.0</v>
      </c>
      <c r="G49" s="49">
        <f t="shared" si="5"/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46" t="s">
        <v>75</v>
      </c>
      <c r="C50" s="46" t="s">
        <v>63</v>
      </c>
      <c r="D50" s="47" t="s">
        <v>64</v>
      </c>
      <c r="E50" s="48">
        <v>1.0</v>
      </c>
      <c r="F50" s="25">
        <v>4.0</v>
      </c>
      <c r="G50" s="49">
        <f t="shared" si="5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6" t="s">
        <v>76</v>
      </c>
      <c r="C51" s="46" t="s">
        <v>63</v>
      </c>
      <c r="D51" s="47" t="s">
        <v>64</v>
      </c>
      <c r="E51" s="49">
        <v>1.0</v>
      </c>
      <c r="F51" s="25">
        <v>3.0</v>
      </c>
      <c r="G51" s="49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6" t="s">
        <v>77</v>
      </c>
      <c r="C52" s="46" t="s">
        <v>63</v>
      </c>
      <c r="D52" s="47" t="s">
        <v>64</v>
      </c>
      <c r="E52" s="49">
        <v>1.0</v>
      </c>
      <c r="F52" s="25">
        <v>2.0</v>
      </c>
      <c r="G52" s="49">
        <f t="shared" si="5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6" t="s">
        <v>78</v>
      </c>
      <c r="C53" s="46" t="s">
        <v>63</v>
      </c>
      <c r="D53" s="47" t="s">
        <v>64</v>
      </c>
      <c r="E53" s="48">
        <v>1.0</v>
      </c>
      <c r="F53" s="25">
        <v>2.0</v>
      </c>
      <c r="G53" s="49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8" t="s">
        <v>79</v>
      </c>
      <c r="C54" s="6"/>
      <c r="D54" s="6"/>
      <c r="E54" s="6"/>
      <c r="F54" s="7"/>
      <c r="G54" s="51">
        <f>SUM(G41:G53)</f>
        <v>34.5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8" t="s">
        <v>80</v>
      </c>
      <c r="C55" s="6"/>
      <c r="D55" s="6"/>
      <c r="E55" s="6"/>
      <c r="F55" s="7"/>
      <c r="G55" s="44">
        <f>0.6+(0.01*G54)</f>
        <v>0.945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0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2"/>
      <c r="C57" s="52"/>
      <c r="D57" s="53"/>
      <c r="E57" s="52"/>
      <c r="F57" s="52"/>
      <c r="G57" s="5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 t="s">
        <v>81</v>
      </c>
      <c r="B58" s="20" t="s">
        <v>82</v>
      </c>
      <c r="C58" s="20" t="s">
        <v>83</v>
      </c>
      <c r="D58" s="19" t="s">
        <v>84</v>
      </c>
      <c r="E58" s="19" t="s">
        <v>9</v>
      </c>
      <c r="F58" s="19" t="s">
        <v>59</v>
      </c>
      <c r="G58" s="19" t="s">
        <v>60</v>
      </c>
      <c r="H58" s="1" t="s">
        <v>85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"/>
      <c r="B59" s="54" t="s">
        <v>86</v>
      </c>
      <c r="C59" s="46" t="s">
        <v>87</v>
      </c>
      <c r="D59" s="47" t="s">
        <v>64</v>
      </c>
      <c r="E59" s="48">
        <v>1.5</v>
      </c>
      <c r="F59" s="25">
        <v>3.0</v>
      </c>
      <c r="G59" s="49">
        <f t="shared" ref="G59:G66" si="6">E59*F59</f>
        <v>4.5</v>
      </c>
      <c r="H59" s="50" t="s">
        <v>66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4" t="s">
        <v>88</v>
      </c>
      <c r="C60" s="46" t="s">
        <v>87</v>
      </c>
      <c r="D60" s="47" t="s">
        <v>64</v>
      </c>
      <c r="E60" s="48">
        <v>0.5</v>
      </c>
      <c r="F60" s="25">
        <v>2.0</v>
      </c>
      <c r="G60" s="49">
        <f t="shared" si="6"/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4" t="s">
        <v>89</v>
      </c>
      <c r="C61" s="46" t="s">
        <v>87</v>
      </c>
      <c r="D61" s="47" t="s">
        <v>64</v>
      </c>
      <c r="E61" s="48">
        <v>1.0</v>
      </c>
      <c r="F61" s="25">
        <v>4.0</v>
      </c>
      <c r="G61" s="49">
        <f t="shared" si="6"/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4" t="s">
        <v>90</v>
      </c>
      <c r="C62" s="46" t="s">
        <v>87</v>
      </c>
      <c r="D62" s="47" t="s">
        <v>64</v>
      </c>
      <c r="E62" s="48">
        <v>0.5</v>
      </c>
      <c r="F62" s="25">
        <v>3.0</v>
      </c>
      <c r="G62" s="49">
        <f t="shared" si="6"/>
        <v>1.5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4" t="s">
        <v>91</v>
      </c>
      <c r="C63" s="46" t="s">
        <v>92</v>
      </c>
      <c r="D63" s="47" t="s">
        <v>64</v>
      </c>
      <c r="E63" s="48">
        <v>1.0</v>
      </c>
      <c r="F63" s="25">
        <v>3.0</v>
      </c>
      <c r="G63" s="49">
        <f t="shared" si="6"/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4" t="s">
        <v>93</v>
      </c>
      <c r="C64" s="46" t="s">
        <v>94</v>
      </c>
      <c r="D64" s="47" t="s">
        <v>64</v>
      </c>
      <c r="E64" s="48">
        <v>2.0</v>
      </c>
      <c r="F64" s="25">
        <v>4.0</v>
      </c>
      <c r="G64" s="49">
        <f t="shared" si="6"/>
        <v>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4" t="s">
        <v>95</v>
      </c>
      <c r="C65" s="46" t="s">
        <v>96</v>
      </c>
      <c r="D65" s="47" t="s">
        <v>64</v>
      </c>
      <c r="E65" s="48">
        <v>-1.0</v>
      </c>
      <c r="F65" s="25">
        <v>4.0</v>
      </c>
      <c r="G65" s="49">
        <f t="shared" si="6"/>
        <v>-4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4" t="s">
        <v>97</v>
      </c>
      <c r="C66" s="46" t="s">
        <v>98</v>
      </c>
      <c r="D66" s="47" t="s">
        <v>64</v>
      </c>
      <c r="E66" s="48">
        <v>-1.0</v>
      </c>
      <c r="F66" s="25">
        <v>4.0</v>
      </c>
      <c r="G66" s="49">
        <f t="shared" si="6"/>
        <v>-4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28" t="s">
        <v>99</v>
      </c>
      <c r="C67" s="6"/>
      <c r="D67" s="6"/>
      <c r="E67" s="6"/>
      <c r="F67" s="7"/>
      <c r="G67" s="19">
        <f>SUM(G59:G66)</f>
        <v>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28" t="s">
        <v>100</v>
      </c>
      <c r="C68" s="6"/>
      <c r="D68" s="6"/>
      <c r="E68" s="6"/>
      <c r="F68" s="7"/>
      <c r="G68" s="19">
        <f>1.4 + (-0.03*G67)</f>
        <v>0.98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28"/>
      <c r="C69" s="55"/>
      <c r="D69" s="56"/>
      <c r="E69" s="55"/>
      <c r="F69" s="57" t="s">
        <v>101</v>
      </c>
      <c r="G69" s="19">
        <f>COUNTIF($F$59:$F$64,"&lt;3")+COUNTIF($F$65:$F$66,"&gt;3")</f>
        <v>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30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8" t="s">
        <v>102</v>
      </c>
      <c r="B72" s="58" t="s">
        <v>103</v>
      </c>
      <c r="C72" s="6"/>
      <c r="D72" s="6"/>
      <c r="E72" s="6"/>
      <c r="F72" s="7"/>
      <c r="G72" s="59">
        <f>F34*G55*G68</f>
        <v>112.0581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0" t="s">
        <v>104</v>
      </c>
      <c r="B75" s="20" t="s">
        <v>105</v>
      </c>
      <c r="C75" s="20" t="s">
        <v>106</v>
      </c>
      <c r="D75" s="20" t="s">
        <v>107</v>
      </c>
      <c r="E75" s="3"/>
      <c r="F75" s="1"/>
      <c r="G75" s="20" t="s">
        <v>108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61">
        <v>20.0</v>
      </c>
      <c r="C76" s="61">
        <f>IF($G$69&gt;=5,36,IF(AND(G$69&gt;2,$G$69&lt;=4),28, IF(AND($G$69&gt;=0,$G$69&lt;=2),20,"error")))</f>
        <v>28</v>
      </c>
      <c r="D76" s="62">
        <f>IF($G$69&gt;=5,$G$76*(36/20),IF(AND($G$69&gt;2,$G$69&lt;=4),$G$76*(28/20), IF(AND($G$69&gt;=0,$G$69&lt;=2),$G$76,"error")))</f>
        <v>5.6</v>
      </c>
      <c r="E76" s="3"/>
      <c r="F76" s="1"/>
      <c r="G76" s="63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64" t="s">
        <v>109</v>
      </c>
      <c r="C77" s="6"/>
      <c r="D77" s="7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5" t="s">
        <v>110</v>
      </c>
      <c r="B78" s="61">
        <f t="shared" ref="B78:D78" si="7">$G$72*B76</f>
        <v>2241.162</v>
      </c>
      <c r="C78" s="61">
        <f t="shared" si="7"/>
        <v>3137.6268</v>
      </c>
      <c r="D78" s="61">
        <f t="shared" si="7"/>
        <v>627.52536</v>
      </c>
      <c r="E78" s="3"/>
      <c r="F78" s="1"/>
      <c r="G78" s="66" t="s">
        <v>111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65" t="s">
        <v>112</v>
      </c>
      <c r="B79" s="67">
        <f t="shared" ref="B79:C79" si="8">B78/(22*8)</f>
        <v>12.733875</v>
      </c>
      <c r="C79" s="67">
        <f t="shared" si="8"/>
        <v>17.827425</v>
      </c>
      <c r="D79" s="68">
        <f>D78/(22*G79)</f>
        <v>7.13097</v>
      </c>
      <c r="E79" s="3"/>
      <c r="F79" s="1"/>
      <c r="G79" s="63">
        <v>4.0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8" t="s">
        <v>113</v>
      </c>
      <c r="B82" s="69" t="s">
        <v>114</v>
      </c>
      <c r="C82" s="70"/>
      <c r="D82" s="56"/>
      <c r="E82" s="55"/>
      <c r="F82" s="71"/>
      <c r="G82" s="7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5" t="s">
        <v>115</v>
      </c>
      <c r="C83" s="19" t="s">
        <v>116</v>
      </c>
      <c r="D83" s="59" t="s">
        <v>117</v>
      </c>
      <c r="E83" s="59" t="s">
        <v>118</v>
      </c>
      <c r="F83" s="59" t="s">
        <v>119</v>
      </c>
      <c r="G83" s="72" t="s">
        <v>120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3" t="s">
        <v>121</v>
      </c>
      <c r="C84" s="74">
        <v>0.4</v>
      </c>
      <c r="D84" s="67">
        <f t="shared" ref="D84:F84" si="9">$C84/$C$84*B$79</f>
        <v>12.733875</v>
      </c>
      <c r="E84" s="67">
        <f t="shared" si="9"/>
        <v>17.827425</v>
      </c>
      <c r="F84" s="67">
        <f t="shared" si="9"/>
        <v>7.13097</v>
      </c>
      <c r="G84" s="67">
        <f>D78</f>
        <v>627.52536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3" t="s">
        <v>122</v>
      </c>
      <c r="C85" s="74">
        <f>1-C84</f>
        <v>0.6</v>
      </c>
      <c r="D85" s="61">
        <f t="shared" ref="D85:F85" si="10">$C85/$C$84*B$79</f>
        <v>19.1008125</v>
      </c>
      <c r="E85" s="61">
        <f t="shared" si="10"/>
        <v>26.7411375</v>
      </c>
      <c r="F85" s="61">
        <f t="shared" si="10"/>
        <v>10.696455</v>
      </c>
      <c r="G85" s="61">
        <f>D78*1.5</f>
        <v>941.28804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5"/>
      <c r="C86" s="74">
        <f>SUM(C84:C85)</f>
        <v>1</v>
      </c>
      <c r="D86" s="67">
        <f t="shared" ref="D86:F86" si="11">$C86/$C$84*B$79</f>
        <v>31.8346875</v>
      </c>
      <c r="E86" s="67">
        <f t="shared" si="11"/>
        <v>44.5685625</v>
      </c>
      <c r="F86" s="67">
        <f t="shared" si="11"/>
        <v>17.827425</v>
      </c>
      <c r="G86" s="67">
        <f>G84+G85</f>
        <v>1568.8134</v>
      </c>
      <c r="H86" s="7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8" t="s">
        <v>123</v>
      </c>
      <c r="B88" s="25">
        <v>4.0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8" t="s">
        <v>124</v>
      </c>
      <c r="B90" s="59" t="s">
        <v>125</v>
      </c>
      <c r="C90" s="59" t="s">
        <v>126</v>
      </c>
      <c r="D90" s="59" t="s">
        <v>127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7"/>
      <c r="B91" s="78">
        <f>$D$86/$B$88</f>
        <v>7.958671875</v>
      </c>
      <c r="C91" s="78">
        <f>$E$86/$B$88</f>
        <v>11.14214063</v>
      </c>
      <c r="D91" s="78">
        <f>$F$86/$B$88</f>
        <v>4.45685625</v>
      </c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9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9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9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9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9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9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9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9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9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9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9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9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9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9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9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9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8:F68"/>
    <mergeCell ref="B72:F72"/>
    <mergeCell ref="B77:D77"/>
    <mergeCell ref="B2:G2"/>
    <mergeCell ref="C13:F13"/>
    <mergeCell ref="C30:E30"/>
    <mergeCell ref="C34:E34"/>
    <mergeCell ref="B54:F54"/>
    <mergeCell ref="B55:F55"/>
    <mergeCell ref="B67:F67"/>
  </mergeCells>
  <dataValidations>
    <dataValidation type="list" allowBlank="1" showErrorMessage="1" sqref="C8:C12">
      <formula1>"Simple,Intermedio,Complejo"</formula1>
    </dataValidation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2" location="v=onepage&amp;q=e7%20part-time%20members&amp;f=false" ref="H41"/>
    <hyperlink r:id="rId3" location="v=onepage&amp;q=e7%20part-time%20members&amp;f=false" ref="H59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51.13"/>
    <col customWidth="1" min="3" max="3" width="42.75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 t="shared" ref="E8:E12" si="1">IF(C8="Simple",1,IF(C8="Intermedio",2,IF(C8="Complejo",3,"error")))</f>
        <v>3</v>
      </c>
      <c r="F8" s="25">
        <v>1.0</v>
      </c>
      <c r="G8" s="24">
        <f t="shared" ref="G8:G12" si="2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"/>
      <c r="B9" s="21" t="s">
        <v>15</v>
      </c>
      <c r="C9" s="22" t="s">
        <v>13</v>
      </c>
      <c r="D9" s="26" t="s">
        <v>16</v>
      </c>
      <c r="E9" s="24">
        <f t="shared" si="1"/>
        <v>3</v>
      </c>
      <c r="F9" s="25">
        <v>3.0</v>
      </c>
      <c r="G9" s="24">
        <f t="shared" si="2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6" t="s">
        <v>19</v>
      </c>
      <c r="E10" s="24">
        <f t="shared" si="1"/>
        <v>2</v>
      </c>
      <c r="F10" s="25">
        <v>1.0</v>
      </c>
      <c r="G10" s="24">
        <f t="shared" si="2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21</v>
      </c>
      <c r="D11" s="26" t="s">
        <v>22</v>
      </c>
      <c r="E11" s="24">
        <f t="shared" si="1"/>
        <v>1</v>
      </c>
      <c r="F11" s="25">
        <v>1.0</v>
      </c>
      <c r="G11" s="24">
        <f t="shared" si="2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1" t="s">
        <v>23</v>
      </c>
      <c r="C12" s="22" t="s">
        <v>21</v>
      </c>
      <c r="D12" s="26" t="s">
        <v>24</v>
      </c>
      <c r="E12" s="24">
        <f t="shared" si="1"/>
        <v>1</v>
      </c>
      <c r="F12" s="25">
        <v>1.0</v>
      </c>
      <c r="G12" s="24">
        <f t="shared" si="2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7"/>
      <c r="C13" s="28" t="s">
        <v>25</v>
      </c>
      <c r="D13" s="6"/>
      <c r="E13" s="6"/>
      <c r="F13" s="7"/>
      <c r="G13" s="29">
        <f>SUM(G8:G12)</f>
        <v>16</v>
      </c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0" t="s">
        <v>26</v>
      </c>
      <c r="D14" s="3"/>
      <c r="E14" s="3"/>
      <c r="F14" s="3"/>
      <c r="G14" s="31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8"/>
      <c r="C15" s="32"/>
      <c r="D15" s="32"/>
      <c r="E15" s="33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8" t="s">
        <v>27</v>
      </c>
      <c r="B16" s="19" t="s">
        <v>28</v>
      </c>
      <c r="C16" s="19" t="s">
        <v>29</v>
      </c>
      <c r="D16" s="20" t="s">
        <v>30</v>
      </c>
      <c r="E16" s="20" t="s">
        <v>31</v>
      </c>
      <c r="F16" s="19" t="s">
        <v>9</v>
      </c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1"/>
      <c r="V16" s="1"/>
      <c r="W16" s="1"/>
      <c r="X16" s="1"/>
      <c r="Y16" s="1"/>
      <c r="Z16" s="1"/>
    </row>
    <row r="17" ht="27.75" customHeight="1">
      <c r="A17" s="1"/>
      <c r="B17" s="35" t="s">
        <v>32</v>
      </c>
      <c r="C17" s="36" t="s">
        <v>33</v>
      </c>
      <c r="D17" s="36">
        <v>3.0</v>
      </c>
      <c r="E17" s="37" t="str">
        <f t="shared" ref="E17:E29" si="3">IF($D17&gt;0,IF($D17&lt;=3,"Simple",IF(AND($D17&gt;3,$D17&lt;7),"Intermedio",IF($D17&gt;=7,"Complejo","error"))),"-")</f>
        <v>Simple</v>
      </c>
      <c r="F17" s="24">
        <f t="shared" ref="F17:F29" si="4">IF($D17&gt;0,IF($D17&lt;=3,5,IF(AND($D17&gt;3,$D17&lt;7),10,IF($D17&gt;=7,15,"error"))),0)</f>
        <v>5</v>
      </c>
      <c r="G17" s="1"/>
      <c r="H17" s="1"/>
      <c r="I17" s="1"/>
      <c r="J17" s="1"/>
      <c r="K17" s="34"/>
      <c r="L17" s="1"/>
      <c r="M17" s="1"/>
      <c r="N17" s="1"/>
      <c r="O17" s="1"/>
      <c r="P17" s="1"/>
      <c r="Q17" s="1"/>
      <c r="R17" s="1"/>
      <c r="S17" s="1"/>
      <c r="T17" s="34"/>
      <c r="U17" s="1"/>
      <c r="V17" s="1"/>
      <c r="W17" s="1"/>
      <c r="X17" s="1"/>
      <c r="Y17" s="1"/>
      <c r="Z17" s="1"/>
    </row>
    <row r="18" ht="27.75" customHeight="1">
      <c r="A18" s="1"/>
      <c r="B18" s="35" t="s">
        <v>34</v>
      </c>
      <c r="C18" s="36" t="s">
        <v>35</v>
      </c>
      <c r="D18" s="36">
        <v>3.0</v>
      </c>
      <c r="E18" s="37" t="str">
        <f t="shared" si="3"/>
        <v>Simple</v>
      </c>
      <c r="F18" s="24">
        <f t="shared" si="4"/>
        <v>5</v>
      </c>
      <c r="G18" s="1"/>
      <c r="H18" s="1"/>
      <c r="I18" s="1"/>
      <c r="J18" s="1"/>
      <c r="K18" s="34"/>
      <c r="L18" s="1"/>
      <c r="M18" s="1"/>
      <c r="N18" s="1"/>
      <c r="O18" s="1"/>
      <c r="P18" s="1"/>
      <c r="Q18" s="1"/>
      <c r="R18" s="1"/>
      <c r="S18" s="1"/>
      <c r="T18" s="34"/>
      <c r="U18" s="1"/>
      <c r="V18" s="1"/>
      <c r="W18" s="1"/>
      <c r="X18" s="1"/>
      <c r="Y18" s="1"/>
      <c r="Z18" s="1"/>
    </row>
    <row r="19" ht="27.75" customHeight="1">
      <c r="A19" s="1"/>
      <c r="B19" s="35" t="s">
        <v>36</v>
      </c>
      <c r="C19" s="36" t="s">
        <v>37</v>
      </c>
      <c r="D19" s="36">
        <v>7.0</v>
      </c>
      <c r="E19" s="37" t="str">
        <f t="shared" si="3"/>
        <v>Complejo</v>
      </c>
      <c r="F19" s="24">
        <f t="shared" si="4"/>
        <v>15</v>
      </c>
      <c r="G19" s="1"/>
      <c r="H19" s="1"/>
      <c r="I19" s="1"/>
      <c r="J19" s="1"/>
      <c r="K19" s="34"/>
      <c r="L19" s="1"/>
      <c r="M19" s="1"/>
      <c r="N19" s="1"/>
      <c r="O19" s="1"/>
      <c r="P19" s="1"/>
      <c r="Q19" s="1"/>
      <c r="R19" s="1"/>
      <c r="S19" s="1"/>
      <c r="T19" s="34"/>
      <c r="U19" s="1"/>
      <c r="V19" s="1"/>
      <c r="W19" s="1"/>
      <c r="X19" s="1"/>
      <c r="Y19" s="1"/>
      <c r="Z19" s="1"/>
    </row>
    <row r="20" ht="27.75" customHeight="1">
      <c r="A20" s="1"/>
      <c r="B20" s="35" t="s">
        <v>38</v>
      </c>
      <c r="C20" s="36" t="s">
        <v>33</v>
      </c>
      <c r="D20" s="36">
        <v>3.0</v>
      </c>
      <c r="E20" s="37" t="str">
        <f t="shared" si="3"/>
        <v>Simple</v>
      </c>
      <c r="F20" s="24">
        <f t="shared" si="4"/>
        <v>5</v>
      </c>
      <c r="G20" s="1"/>
      <c r="H20" s="1"/>
      <c r="I20" s="1"/>
      <c r="J20" s="1"/>
      <c r="K20" s="34"/>
      <c r="L20" s="1"/>
      <c r="M20" s="1"/>
      <c r="N20" s="1"/>
      <c r="O20" s="1"/>
      <c r="P20" s="1"/>
      <c r="Q20" s="1"/>
      <c r="R20" s="1"/>
      <c r="S20" s="1"/>
      <c r="T20" s="34"/>
      <c r="U20" s="1"/>
      <c r="V20" s="1"/>
      <c r="W20" s="1"/>
      <c r="X20" s="1"/>
      <c r="Y20" s="1"/>
      <c r="Z20" s="1"/>
    </row>
    <row r="21" ht="27.75" customHeight="1">
      <c r="A21" s="1"/>
      <c r="B21" s="35" t="s">
        <v>39</v>
      </c>
      <c r="C21" s="36" t="s">
        <v>40</v>
      </c>
      <c r="D21" s="36">
        <v>3.0</v>
      </c>
      <c r="E21" s="37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4"/>
      <c r="L21" s="1"/>
      <c r="M21" s="1"/>
      <c r="N21" s="1"/>
      <c r="O21" s="1"/>
      <c r="P21" s="1"/>
      <c r="Q21" s="1"/>
      <c r="R21" s="1"/>
      <c r="S21" s="1"/>
      <c r="T21" s="34"/>
      <c r="U21" s="1"/>
      <c r="V21" s="1"/>
      <c r="W21" s="1"/>
      <c r="X21" s="1"/>
      <c r="Y21" s="1"/>
      <c r="Z21" s="1"/>
    </row>
    <row r="22" ht="27.75" customHeight="1">
      <c r="A22" s="1"/>
      <c r="B22" s="35" t="s">
        <v>41</v>
      </c>
      <c r="C22" s="36" t="s">
        <v>42</v>
      </c>
      <c r="D22" s="36">
        <v>8.0</v>
      </c>
      <c r="E22" s="37" t="str">
        <f t="shared" si="3"/>
        <v>Complejo</v>
      </c>
      <c r="F22" s="24">
        <f t="shared" si="4"/>
        <v>15</v>
      </c>
      <c r="G22" s="1"/>
      <c r="H22" s="1"/>
      <c r="I22" s="1"/>
      <c r="J22" s="1"/>
      <c r="K22" s="34"/>
      <c r="L22" s="1"/>
      <c r="M22" s="1"/>
      <c r="N22" s="1"/>
      <c r="O22" s="1"/>
      <c r="P22" s="1"/>
      <c r="Q22" s="1"/>
      <c r="R22" s="1"/>
      <c r="S22" s="1"/>
      <c r="T22" s="34"/>
      <c r="U22" s="1"/>
      <c r="V22" s="1"/>
      <c r="W22" s="1"/>
      <c r="X22" s="1"/>
      <c r="Y22" s="1"/>
      <c r="Z22" s="1"/>
    </row>
    <row r="23" ht="27.75" customHeight="1">
      <c r="A23" s="1"/>
      <c r="B23" s="35" t="s">
        <v>43</v>
      </c>
      <c r="C23" s="36" t="s">
        <v>40</v>
      </c>
      <c r="D23" s="36">
        <v>3.0</v>
      </c>
      <c r="E23" s="37" t="str">
        <f t="shared" si="3"/>
        <v>Simple</v>
      </c>
      <c r="F23" s="24">
        <f t="shared" si="4"/>
        <v>5</v>
      </c>
      <c r="G23" s="1"/>
      <c r="H23" s="1"/>
      <c r="I23" s="1"/>
      <c r="J23" s="1"/>
      <c r="K23" s="34"/>
      <c r="L23" s="1"/>
      <c r="M23" s="1"/>
      <c r="N23" s="1"/>
      <c r="O23" s="1"/>
      <c r="P23" s="1"/>
      <c r="Q23" s="1"/>
      <c r="R23" s="1"/>
      <c r="S23" s="1"/>
      <c r="T23" s="34"/>
      <c r="U23" s="1"/>
      <c r="V23" s="1"/>
      <c r="W23" s="1"/>
      <c r="X23" s="1"/>
      <c r="Y23" s="1"/>
      <c r="Z23" s="1"/>
    </row>
    <row r="24" ht="27.75" customHeight="1">
      <c r="A24" s="1"/>
      <c r="B24" s="38" t="s">
        <v>44</v>
      </c>
      <c r="C24" s="36" t="s">
        <v>40</v>
      </c>
      <c r="D24" s="36">
        <v>3.0</v>
      </c>
      <c r="E24" s="37" t="str">
        <f t="shared" si="3"/>
        <v>Simple</v>
      </c>
      <c r="F24" s="24">
        <f t="shared" si="4"/>
        <v>5</v>
      </c>
      <c r="G24" s="1"/>
      <c r="H24" s="1"/>
      <c r="I24" s="1"/>
      <c r="J24" s="1"/>
      <c r="K24" s="34"/>
      <c r="L24" s="1"/>
      <c r="M24" s="1"/>
      <c r="N24" s="1"/>
      <c r="O24" s="1"/>
      <c r="P24" s="1"/>
      <c r="Q24" s="1"/>
      <c r="R24" s="1"/>
      <c r="S24" s="1"/>
      <c r="T24" s="34"/>
      <c r="U24" s="1"/>
      <c r="V24" s="1"/>
      <c r="W24" s="1"/>
      <c r="X24" s="1"/>
      <c r="Y24" s="1"/>
      <c r="Z24" s="1"/>
    </row>
    <row r="25" ht="27.75" customHeight="1">
      <c r="A25" s="1"/>
      <c r="B25" s="35" t="s">
        <v>45</v>
      </c>
      <c r="C25" s="36" t="s">
        <v>40</v>
      </c>
      <c r="D25" s="36">
        <v>3.0</v>
      </c>
      <c r="E25" s="37" t="str">
        <f t="shared" si="3"/>
        <v>Simple</v>
      </c>
      <c r="F25" s="24">
        <f t="shared" si="4"/>
        <v>5</v>
      </c>
      <c r="G25" s="1"/>
      <c r="H25" s="1"/>
      <c r="I25" s="1"/>
      <c r="J25" s="1"/>
      <c r="K25" s="34"/>
      <c r="L25" s="1"/>
      <c r="M25" s="1"/>
      <c r="N25" s="1"/>
      <c r="O25" s="1"/>
      <c r="P25" s="1"/>
      <c r="Q25" s="1"/>
      <c r="R25" s="1"/>
      <c r="S25" s="1"/>
      <c r="T25" s="34"/>
      <c r="U25" s="1"/>
      <c r="V25" s="1"/>
      <c r="W25" s="1"/>
      <c r="X25" s="1"/>
      <c r="Y25" s="1"/>
      <c r="Z25" s="1"/>
    </row>
    <row r="26" ht="27.75" customHeight="1">
      <c r="A26" s="1"/>
      <c r="B26" s="35" t="s">
        <v>46</v>
      </c>
      <c r="C26" s="36" t="s">
        <v>47</v>
      </c>
      <c r="D26" s="36">
        <v>4.0</v>
      </c>
      <c r="E26" s="37" t="str">
        <f t="shared" si="3"/>
        <v>Intermedio</v>
      </c>
      <c r="F26" s="24">
        <f t="shared" si="4"/>
        <v>10</v>
      </c>
      <c r="G26" s="1"/>
      <c r="H26" s="1"/>
      <c r="I26" s="1"/>
      <c r="J26" s="1"/>
      <c r="K26" s="34"/>
      <c r="L26" s="1"/>
      <c r="M26" s="1"/>
      <c r="N26" s="1"/>
      <c r="O26" s="1"/>
      <c r="P26" s="1"/>
      <c r="Q26" s="1"/>
      <c r="R26" s="1"/>
      <c r="S26" s="1"/>
      <c r="T26" s="34"/>
      <c r="U26" s="1"/>
      <c r="V26" s="1"/>
      <c r="W26" s="1"/>
      <c r="X26" s="1"/>
      <c r="Y26" s="1"/>
      <c r="Z26" s="1"/>
    </row>
    <row r="27" ht="27.75" customHeight="1">
      <c r="A27" s="1"/>
      <c r="B27" s="35" t="s">
        <v>48</v>
      </c>
      <c r="C27" s="36" t="s">
        <v>49</v>
      </c>
      <c r="D27" s="36">
        <v>4.0</v>
      </c>
      <c r="E27" s="37" t="str">
        <f t="shared" si="3"/>
        <v>Intermedio</v>
      </c>
      <c r="F27" s="24">
        <f t="shared" si="4"/>
        <v>10</v>
      </c>
      <c r="G27" s="1"/>
      <c r="H27" s="1"/>
      <c r="I27" s="1"/>
      <c r="J27" s="1"/>
      <c r="K27" s="34"/>
      <c r="L27" s="1"/>
      <c r="M27" s="1"/>
      <c r="N27" s="1"/>
      <c r="O27" s="1"/>
      <c r="P27" s="1"/>
      <c r="Q27" s="1"/>
      <c r="R27" s="1"/>
      <c r="S27" s="1"/>
      <c r="T27" s="34"/>
      <c r="U27" s="1"/>
      <c r="V27" s="1"/>
      <c r="W27" s="1"/>
      <c r="X27" s="1"/>
      <c r="Y27" s="1"/>
      <c r="Z27" s="1"/>
    </row>
    <row r="28" ht="27.75" customHeight="1">
      <c r="A28" s="1"/>
      <c r="B28" s="35" t="s">
        <v>50</v>
      </c>
      <c r="C28" s="36" t="s">
        <v>40</v>
      </c>
      <c r="D28" s="39">
        <v>7.0</v>
      </c>
      <c r="E28" s="37" t="str">
        <f t="shared" si="3"/>
        <v>Complejo</v>
      </c>
      <c r="F28" s="24">
        <f t="shared" si="4"/>
        <v>15</v>
      </c>
      <c r="G28" s="1"/>
      <c r="H28" s="1"/>
      <c r="I28" s="1"/>
      <c r="J28" s="1"/>
      <c r="K28" s="34"/>
      <c r="L28" s="1"/>
      <c r="M28" s="1"/>
      <c r="N28" s="1"/>
      <c r="O28" s="1"/>
      <c r="P28" s="1"/>
      <c r="Q28" s="1"/>
      <c r="R28" s="1"/>
      <c r="S28" s="1"/>
      <c r="T28" s="34"/>
      <c r="U28" s="1"/>
      <c r="V28" s="1"/>
      <c r="W28" s="1"/>
      <c r="X28" s="1"/>
      <c r="Y28" s="1"/>
      <c r="Z28" s="1"/>
    </row>
    <row r="29" ht="27.75" customHeight="1">
      <c r="A29" s="1"/>
      <c r="B29" s="35" t="s">
        <v>51</v>
      </c>
      <c r="C29" s="36" t="s">
        <v>40</v>
      </c>
      <c r="D29" s="36">
        <v>3.0</v>
      </c>
      <c r="E29" s="37" t="str">
        <f t="shared" si="3"/>
        <v>Simple</v>
      </c>
      <c r="F29" s="24">
        <f t="shared" si="4"/>
        <v>5</v>
      </c>
      <c r="G29" s="1"/>
      <c r="H29" s="1"/>
      <c r="I29" s="1"/>
      <c r="J29" s="1"/>
      <c r="K29" s="34"/>
      <c r="L29" s="1"/>
      <c r="M29" s="1"/>
      <c r="N29" s="1"/>
      <c r="O29" s="1"/>
      <c r="P29" s="1"/>
      <c r="Q29" s="1"/>
      <c r="R29" s="1"/>
      <c r="S29" s="1"/>
      <c r="T29" s="34"/>
      <c r="U29" s="1"/>
      <c r="V29" s="1"/>
      <c r="W29" s="1"/>
      <c r="X29" s="1"/>
      <c r="Y29" s="1"/>
      <c r="Z29" s="1"/>
    </row>
    <row r="30" ht="27.75" customHeight="1">
      <c r="A30" s="1"/>
      <c r="B30" s="40"/>
      <c r="C30" s="41" t="s">
        <v>52</v>
      </c>
      <c r="D30" s="42"/>
      <c r="E30" s="43"/>
      <c r="F30" s="44">
        <f>SUM(F17:F29)</f>
        <v>105</v>
      </c>
      <c r="G30" s="1"/>
      <c r="H30" s="1"/>
      <c r="I30" s="1"/>
      <c r="J30" s="1"/>
      <c r="K30" s="34"/>
      <c r="L30" s="1"/>
      <c r="M30" s="1"/>
      <c r="N30" s="1"/>
      <c r="O30" s="1"/>
      <c r="P30" s="1"/>
      <c r="Q30" s="1"/>
      <c r="R30" s="1"/>
      <c r="S30" s="1"/>
      <c r="T30" s="34"/>
      <c r="U30" s="1"/>
      <c r="V30" s="1"/>
      <c r="W30" s="1"/>
      <c r="X30" s="1"/>
      <c r="Y30" s="1"/>
      <c r="Z30" s="1"/>
    </row>
    <row r="31" ht="27.75" customHeight="1">
      <c r="A31" s="1"/>
      <c r="G31" s="1"/>
      <c r="H31" s="1"/>
      <c r="I31" s="1"/>
      <c r="J31" s="1"/>
      <c r="K31" s="34"/>
      <c r="L31" s="1"/>
      <c r="M31" s="1"/>
      <c r="N31" s="1"/>
      <c r="O31" s="1"/>
      <c r="P31" s="1"/>
      <c r="Q31" s="1"/>
      <c r="R31" s="1"/>
      <c r="S31" s="1"/>
      <c r="T31" s="34"/>
      <c r="U31" s="1"/>
      <c r="V31" s="1"/>
      <c r="W31" s="1"/>
      <c r="X31" s="1"/>
      <c r="Y31" s="1"/>
      <c r="Z31" s="1"/>
    </row>
    <row r="32" ht="27.75" customHeight="1">
      <c r="A32" s="1"/>
      <c r="G32" s="1"/>
      <c r="H32" s="1"/>
      <c r="I32" s="1"/>
      <c r="J32" s="1"/>
      <c r="K32" s="34"/>
      <c r="L32" s="1"/>
      <c r="M32" s="1"/>
      <c r="N32" s="1"/>
      <c r="O32" s="1"/>
      <c r="P32" s="1"/>
      <c r="Q32" s="1"/>
      <c r="R32" s="1"/>
      <c r="S32" s="1"/>
      <c r="T32" s="34"/>
      <c r="U32" s="1"/>
      <c r="V32" s="1"/>
      <c r="W32" s="1"/>
      <c r="X32" s="1"/>
      <c r="Y32" s="1"/>
      <c r="Z32" s="1"/>
    </row>
    <row r="33" ht="27.75" customHeight="1">
      <c r="A33" s="1"/>
      <c r="G33" s="1"/>
      <c r="H33" s="1"/>
      <c r="I33" s="1"/>
      <c r="J33" s="1"/>
      <c r="K33" s="34"/>
      <c r="L33" s="1"/>
      <c r="M33" s="1"/>
      <c r="N33" s="1"/>
      <c r="O33" s="1"/>
      <c r="P33" s="1"/>
      <c r="Q33" s="1"/>
      <c r="R33" s="1"/>
      <c r="S33" s="1"/>
      <c r="T33" s="34"/>
      <c r="U33" s="1"/>
      <c r="V33" s="1"/>
      <c r="W33" s="1"/>
      <c r="X33" s="1"/>
      <c r="Y33" s="1"/>
      <c r="Z33" s="1"/>
    </row>
    <row r="34" ht="27.75" customHeight="1">
      <c r="A34" s="18" t="s">
        <v>53</v>
      </c>
      <c r="B34" s="45"/>
      <c r="C34" s="28" t="s">
        <v>128</v>
      </c>
      <c r="D34" s="6"/>
      <c r="E34" s="7"/>
      <c r="F34" s="29">
        <f>G13+F30</f>
        <v>121</v>
      </c>
      <c r="G34" s="1"/>
      <c r="H34" s="18"/>
      <c r="I34" s="1"/>
      <c r="J34" s="1"/>
      <c r="K34" s="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G37" s="1"/>
      <c r="H37" s="1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3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8" t="s">
        <v>55</v>
      </c>
      <c r="B40" s="20" t="s">
        <v>56</v>
      </c>
      <c r="C40" s="20" t="s">
        <v>57</v>
      </c>
      <c r="D40" s="19" t="s">
        <v>58</v>
      </c>
      <c r="E40" s="19" t="s">
        <v>9</v>
      </c>
      <c r="F40" s="19" t="s">
        <v>59</v>
      </c>
      <c r="G40" s="19" t="s">
        <v>60</v>
      </c>
      <c r="H40" s="1" t="s">
        <v>61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75" customHeight="1">
      <c r="A41" s="1"/>
      <c r="B41" s="46" t="s">
        <v>62</v>
      </c>
      <c r="C41" s="46" t="s">
        <v>63</v>
      </c>
      <c r="D41" s="47" t="s">
        <v>64</v>
      </c>
      <c r="E41" s="48" t="s">
        <v>65</v>
      </c>
      <c r="F41" s="25">
        <v>0.0</v>
      </c>
      <c r="G41" s="49">
        <f t="shared" ref="G41:G53" si="5">E41*F41</f>
        <v>0</v>
      </c>
      <c r="H41" s="50" t="s">
        <v>66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6" t="s">
        <v>67</v>
      </c>
      <c r="C42" s="46" t="s">
        <v>63</v>
      </c>
      <c r="D42" s="47" t="s">
        <v>64</v>
      </c>
      <c r="E42" s="49">
        <v>2.0</v>
      </c>
      <c r="F42" s="25">
        <v>3.0</v>
      </c>
      <c r="G42" s="49">
        <f t="shared" si="5"/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6" t="s">
        <v>68</v>
      </c>
      <c r="C43" s="46" t="s">
        <v>63</v>
      </c>
      <c r="D43" s="47" t="s">
        <v>64</v>
      </c>
      <c r="E43" s="49">
        <v>1.0</v>
      </c>
      <c r="F43" s="25">
        <v>5.0</v>
      </c>
      <c r="G43" s="49">
        <f t="shared" si="5"/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6" t="s">
        <v>69</v>
      </c>
      <c r="C44" s="46" t="s">
        <v>63</v>
      </c>
      <c r="D44" s="47" t="s">
        <v>64</v>
      </c>
      <c r="E44" s="49">
        <v>1.0</v>
      </c>
      <c r="F44" s="25">
        <v>4.0</v>
      </c>
      <c r="G44" s="49">
        <f t="shared" si="5"/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6" t="s">
        <v>70</v>
      </c>
      <c r="C45" s="46" t="s">
        <v>63</v>
      </c>
      <c r="D45" s="47" t="s">
        <v>64</v>
      </c>
      <c r="E45" s="48">
        <v>1.0</v>
      </c>
      <c r="F45" s="25">
        <v>2.0</v>
      </c>
      <c r="G45" s="49">
        <f t="shared" si="5"/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6" t="s">
        <v>71</v>
      </c>
      <c r="C46" s="46" t="s">
        <v>63</v>
      </c>
      <c r="D46" s="47" t="s">
        <v>64</v>
      </c>
      <c r="E46" s="48">
        <v>0.5</v>
      </c>
      <c r="F46" s="25">
        <v>2.0</v>
      </c>
      <c r="G46" s="49">
        <f t="shared" si="5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6" t="s">
        <v>72</v>
      </c>
      <c r="C47" s="46" t="s">
        <v>63</v>
      </c>
      <c r="D47" s="47" t="s">
        <v>64</v>
      </c>
      <c r="E47" s="48">
        <v>0.5</v>
      </c>
      <c r="F47" s="25">
        <v>3.0</v>
      </c>
      <c r="G47" s="49">
        <f t="shared" si="5"/>
        <v>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46" t="s">
        <v>73</v>
      </c>
      <c r="C48" s="46" t="s">
        <v>63</v>
      </c>
      <c r="D48" s="47" t="s">
        <v>64</v>
      </c>
      <c r="E48" s="48">
        <v>2.0</v>
      </c>
      <c r="F48" s="25">
        <v>1.0</v>
      </c>
      <c r="G48" s="49">
        <f t="shared" si="5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46" t="s">
        <v>74</v>
      </c>
      <c r="C49" s="46" t="s">
        <v>63</v>
      </c>
      <c r="D49" s="47" t="s">
        <v>64</v>
      </c>
      <c r="E49" s="48">
        <v>1.0</v>
      </c>
      <c r="F49" s="25">
        <v>2.0</v>
      </c>
      <c r="G49" s="49">
        <f t="shared" si="5"/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46" t="s">
        <v>75</v>
      </c>
      <c r="C50" s="46" t="s">
        <v>63</v>
      </c>
      <c r="D50" s="47" t="s">
        <v>64</v>
      </c>
      <c r="E50" s="48">
        <v>1.0</v>
      </c>
      <c r="F50" s="25">
        <v>4.0</v>
      </c>
      <c r="G50" s="49">
        <f t="shared" si="5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6" t="s">
        <v>76</v>
      </c>
      <c r="C51" s="46" t="s">
        <v>63</v>
      </c>
      <c r="D51" s="47" t="s">
        <v>64</v>
      </c>
      <c r="E51" s="49">
        <v>1.0</v>
      </c>
      <c r="F51" s="25">
        <v>3.0</v>
      </c>
      <c r="G51" s="49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6" t="s">
        <v>77</v>
      </c>
      <c r="C52" s="46" t="s">
        <v>63</v>
      </c>
      <c r="D52" s="47" t="s">
        <v>64</v>
      </c>
      <c r="E52" s="49">
        <v>1.0</v>
      </c>
      <c r="F52" s="25">
        <v>2.0</v>
      </c>
      <c r="G52" s="49">
        <f t="shared" si="5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6" t="s">
        <v>78</v>
      </c>
      <c r="C53" s="46" t="s">
        <v>63</v>
      </c>
      <c r="D53" s="47" t="s">
        <v>64</v>
      </c>
      <c r="E53" s="48">
        <v>1.0</v>
      </c>
      <c r="F53" s="25">
        <v>2.0</v>
      </c>
      <c r="G53" s="49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8" t="s">
        <v>129</v>
      </c>
      <c r="C54" s="6"/>
      <c r="D54" s="6"/>
      <c r="E54" s="6"/>
      <c r="F54" s="7"/>
      <c r="G54" s="51">
        <f>SUM(G41:G53)</f>
        <v>34.5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8" t="s">
        <v>130</v>
      </c>
      <c r="C55" s="6"/>
      <c r="D55" s="6"/>
      <c r="E55" s="6"/>
      <c r="F55" s="7"/>
      <c r="G55" s="44">
        <f>0.6+(0.01*G54)</f>
        <v>0.945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0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2"/>
      <c r="C57" s="52"/>
      <c r="D57" s="53"/>
      <c r="E57" s="52"/>
      <c r="F57" s="52"/>
      <c r="G57" s="5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 t="s">
        <v>81</v>
      </c>
      <c r="B58" s="20" t="s">
        <v>82</v>
      </c>
      <c r="C58" s="20" t="s">
        <v>83</v>
      </c>
      <c r="D58" s="19" t="s">
        <v>84</v>
      </c>
      <c r="E58" s="19" t="s">
        <v>9</v>
      </c>
      <c r="F58" s="19" t="s">
        <v>59</v>
      </c>
      <c r="G58" s="19" t="s">
        <v>60</v>
      </c>
      <c r="H58" s="1" t="s">
        <v>85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"/>
      <c r="B59" s="54" t="s">
        <v>86</v>
      </c>
      <c r="C59" s="46" t="s">
        <v>87</v>
      </c>
      <c r="D59" s="47" t="s">
        <v>64</v>
      </c>
      <c r="E59" s="48">
        <v>1.5</v>
      </c>
      <c r="F59" s="25">
        <v>3.0</v>
      </c>
      <c r="G59" s="49">
        <f t="shared" ref="G59:G66" si="6">E59*F59</f>
        <v>4.5</v>
      </c>
      <c r="H59" s="50" t="s">
        <v>66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4" t="s">
        <v>88</v>
      </c>
      <c r="C60" s="46" t="s">
        <v>87</v>
      </c>
      <c r="D60" s="47" t="s">
        <v>64</v>
      </c>
      <c r="E60" s="48">
        <v>0.5</v>
      </c>
      <c r="F60" s="25">
        <v>2.0</v>
      </c>
      <c r="G60" s="49">
        <f t="shared" si="6"/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4" t="s">
        <v>89</v>
      </c>
      <c r="C61" s="46" t="s">
        <v>87</v>
      </c>
      <c r="D61" s="47" t="s">
        <v>64</v>
      </c>
      <c r="E61" s="48">
        <v>1.0</v>
      </c>
      <c r="F61" s="25">
        <v>4.0</v>
      </c>
      <c r="G61" s="49">
        <f t="shared" si="6"/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4" t="s">
        <v>90</v>
      </c>
      <c r="C62" s="46" t="s">
        <v>87</v>
      </c>
      <c r="D62" s="47" t="s">
        <v>64</v>
      </c>
      <c r="E62" s="48">
        <v>0.5</v>
      </c>
      <c r="F62" s="25">
        <v>3.0</v>
      </c>
      <c r="G62" s="49">
        <f t="shared" si="6"/>
        <v>1.5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4" t="s">
        <v>91</v>
      </c>
      <c r="C63" s="46" t="s">
        <v>92</v>
      </c>
      <c r="D63" s="47" t="s">
        <v>64</v>
      </c>
      <c r="E63" s="48">
        <v>1.0</v>
      </c>
      <c r="F63" s="80">
        <v>2.0</v>
      </c>
      <c r="G63" s="49">
        <f t="shared" si="6"/>
        <v>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4" t="s">
        <v>93</v>
      </c>
      <c r="C64" s="46" t="s">
        <v>94</v>
      </c>
      <c r="D64" s="47" t="s">
        <v>64</v>
      </c>
      <c r="E64" s="48">
        <v>2.0</v>
      </c>
      <c r="F64" s="80">
        <v>3.0</v>
      </c>
      <c r="G64" s="49">
        <f t="shared" si="6"/>
        <v>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4" t="s">
        <v>95</v>
      </c>
      <c r="C65" s="46" t="s">
        <v>96</v>
      </c>
      <c r="D65" s="47" t="s">
        <v>64</v>
      </c>
      <c r="E65" s="48">
        <v>-1.0</v>
      </c>
      <c r="F65" s="80">
        <v>5.0</v>
      </c>
      <c r="G65" s="49">
        <f t="shared" si="6"/>
        <v>-5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4" t="s">
        <v>97</v>
      </c>
      <c r="C66" s="46" t="s">
        <v>98</v>
      </c>
      <c r="D66" s="47" t="s">
        <v>64</v>
      </c>
      <c r="E66" s="48">
        <v>-1.0</v>
      </c>
      <c r="F66" s="80">
        <v>5.0</v>
      </c>
      <c r="G66" s="49">
        <f t="shared" si="6"/>
        <v>-5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28" t="s">
        <v>99</v>
      </c>
      <c r="C67" s="6"/>
      <c r="D67" s="6"/>
      <c r="E67" s="6"/>
      <c r="F67" s="7"/>
      <c r="G67" s="19">
        <f>SUM(G59:G66)</f>
        <v>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28" t="s">
        <v>131</v>
      </c>
      <c r="C68" s="6"/>
      <c r="D68" s="6"/>
      <c r="E68" s="6"/>
      <c r="F68" s="7"/>
      <c r="G68" s="19">
        <f>1.4 + (-0.03*G67)</f>
        <v>1.13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28"/>
      <c r="C69" s="55"/>
      <c r="D69" s="56"/>
      <c r="E69" s="55"/>
      <c r="F69" s="57" t="s">
        <v>101</v>
      </c>
      <c r="G69" s="19">
        <f>COUNTIF($F$59:$F$64,"&lt;3")+COUNTIF($F$65:$F$66,"&gt;3")</f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30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8" t="s">
        <v>102</v>
      </c>
      <c r="B72" s="58" t="s">
        <v>132</v>
      </c>
      <c r="C72" s="6"/>
      <c r="D72" s="6"/>
      <c r="E72" s="6"/>
      <c r="F72" s="7"/>
      <c r="G72" s="59">
        <f>F34*G55*G68</f>
        <v>129.20985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0" t="s">
        <v>104</v>
      </c>
      <c r="B75" s="20" t="s">
        <v>105</v>
      </c>
      <c r="C75" s="20" t="s">
        <v>106</v>
      </c>
      <c r="D75" s="20" t="s">
        <v>107</v>
      </c>
      <c r="E75" s="3"/>
      <c r="F75" s="1"/>
      <c r="G75" s="20" t="s">
        <v>108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61">
        <v>20.0</v>
      </c>
      <c r="C76" s="61">
        <f>IF($G$69&gt;=5,36,IF(AND(G$69&gt;2,$G$69&lt;=4),28, IF(AND($G$69&gt;=0,$G$69&lt;=2),20,"error")))</f>
        <v>28</v>
      </c>
      <c r="D76" s="62">
        <f>IF($G$69&gt;=5,$G$76*(36/20),IF(AND($G$69&gt;2,$G$69&lt;=4),$G$76*(28/20), IF(AND($G$69&gt;=0,$G$69&lt;=2),$G$76,"error")))</f>
        <v>5.6</v>
      </c>
      <c r="E76" s="3"/>
      <c r="F76" s="1"/>
      <c r="G76" s="63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64" t="s">
        <v>109</v>
      </c>
      <c r="C77" s="6"/>
      <c r="D77" s="7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5" t="s">
        <v>110</v>
      </c>
      <c r="B78" s="61">
        <f t="shared" ref="B78:D78" si="7">$G$72*B76</f>
        <v>2584.197</v>
      </c>
      <c r="C78" s="61">
        <f t="shared" si="7"/>
        <v>3617.8758</v>
      </c>
      <c r="D78" s="61">
        <f t="shared" si="7"/>
        <v>723.57516</v>
      </c>
      <c r="E78" s="3"/>
      <c r="F78" s="1"/>
      <c r="G78" s="66" t="s">
        <v>111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65" t="s">
        <v>112</v>
      </c>
      <c r="B79" s="67">
        <f t="shared" ref="B79:C79" si="8">B78/(22*8)</f>
        <v>14.6829375</v>
      </c>
      <c r="C79" s="67">
        <f t="shared" si="8"/>
        <v>20.5561125</v>
      </c>
      <c r="D79" s="68">
        <f>D78/(22*G79)</f>
        <v>8.222445</v>
      </c>
      <c r="E79" s="3"/>
      <c r="F79" s="1"/>
      <c r="G79" s="63">
        <v>4.0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8" t="s">
        <v>113</v>
      </c>
      <c r="B82" s="69" t="s">
        <v>114</v>
      </c>
      <c r="C82" s="70"/>
      <c r="D82" s="56"/>
      <c r="E82" s="55"/>
      <c r="F82" s="71"/>
      <c r="G82" s="7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5" t="s">
        <v>115</v>
      </c>
      <c r="C83" s="19" t="s">
        <v>116</v>
      </c>
      <c r="D83" s="59" t="s">
        <v>117</v>
      </c>
      <c r="E83" s="59" t="s">
        <v>118</v>
      </c>
      <c r="F83" s="59" t="s">
        <v>119</v>
      </c>
      <c r="G83" s="72" t="s">
        <v>120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3" t="s">
        <v>121</v>
      </c>
      <c r="C84" s="74">
        <v>0.4</v>
      </c>
      <c r="D84" s="67">
        <f t="shared" ref="D84:F84" si="9">$C84/$C$84*B$79</f>
        <v>14.6829375</v>
      </c>
      <c r="E84" s="67">
        <f t="shared" si="9"/>
        <v>20.5561125</v>
      </c>
      <c r="F84" s="67">
        <f t="shared" si="9"/>
        <v>8.222445</v>
      </c>
      <c r="G84" s="67">
        <f>D78</f>
        <v>723.57516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3" t="s">
        <v>122</v>
      </c>
      <c r="C85" s="74">
        <f>1-C84</f>
        <v>0.6</v>
      </c>
      <c r="D85" s="61">
        <f t="shared" ref="D85:F85" si="10">$C85/$C$84*B$79</f>
        <v>22.02440625</v>
      </c>
      <c r="E85" s="61">
        <f t="shared" si="10"/>
        <v>30.83416875</v>
      </c>
      <c r="F85" s="61">
        <f t="shared" si="10"/>
        <v>12.3336675</v>
      </c>
      <c r="G85" s="61">
        <f>D78*1.5</f>
        <v>1085.36274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5"/>
      <c r="C86" s="74">
        <f>SUM(C84:C85)</f>
        <v>1</v>
      </c>
      <c r="D86" s="67">
        <f t="shared" ref="D86:F86" si="11">$C86/$C$84*B$79</f>
        <v>36.70734375</v>
      </c>
      <c r="E86" s="67">
        <f t="shared" si="11"/>
        <v>51.39028125</v>
      </c>
      <c r="F86" s="67">
        <f t="shared" si="11"/>
        <v>20.5561125</v>
      </c>
      <c r="G86" s="67">
        <f>G84+G85</f>
        <v>1808.9379</v>
      </c>
      <c r="H86" s="7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8" t="s">
        <v>123</v>
      </c>
      <c r="B88" s="25">
        <v>4.0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8" t="s">
        <v>124</v>
      </c>
      <c r="B90" s="59" t="s">
        <v>125</v>
      </c>
      <c r="C90" s="59" t="s">
        <v>126</v>
      </c>
      <c r="D90" s="59" t="s">
        <v>127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7"/>
      <c r="B91" s="78">
        <f>$D$86/$B$88</f>
        <v>9.176835938</v>
      </c>
      <c r="C91" s="78">
        <f>$E$86/$B$88</f>
        <v>12.84757031</v>
      </c>
      <c r="D91" s="78">
        <f>$F$86/$B$88</f>
        <v>5.139028125</v>
      </c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9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9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9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9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9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9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9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9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9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9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9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9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9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9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9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9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8:F68"/>
    <mergeCell ref="B72:F72"/>
    <mergeCell ref="B77:D77"/>
    <mergeCell ref="B2:G2"/>
    <mergeCell ref="C13:F13"/>
    <mergeCell ref="C30:E30"/>
    <mergeCell ref="C34:E34"/>
    <mergeCell ref="B54:F54"/>
    <mergeCell ref="B55:F55"/>
    <mergeCell ref="B67:F67"/>
  </mergeCells>
  <dataValidations>
    <dataValidation type="list" allowBlank="1" showErrorMessage="1" sqref="C8:C12">
      <formula1>"Simple,Intermedio,Complejo"</formula1>
    </dataValidation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1" location="v=onepage&amp;q=e7%20part-time%20members&amp;f=false" ref="H41"/>
    <hyperlink r:id="rId2" location="v=onepage&amp;q=e7%20part-time%20members&amp;f=false" ref="H59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51.13"/>
    <col customWidth="1" min="3" max="3" width="42.75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 t="shared" ref="E8:E12" si="1">IF(C8="Simple",1,IF(C8="Intermedio",2,IF(C8="Complejo",3,"error")))</f>
        <v>3</v>
      </c>
      <c r="F8" s="25">
        <v>1.0</v>
      </c>
      <c r="G8" s="24">
        <f t="shared" ref="G8:G12" si="2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"/>
      <c r="B9" s="21" t="s">
        <v>15</v>
      </c>
      <c r="C9" s="22" t="s">
        <v>13</v>
      </c>
      <c r="D9" s="26" t="s">
        <v>16</v>
      </c>
      <c r="E9" s="24">
        <f t="shared" si="1"/>
        <v>3</v>
      </c>
      <c r="F9" s="25">
        <v>3.0</v>
      </c>
      <c r="G9" s="24">
        <f t="shared" si="2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6" t="s">
        <v>19</v>
      </c>
      <c r="E10" s="24">
        <f t="shared" si="1"/>
        <v>2</v>
      </c>
      <c r="F10" s="25">
        <v>1.0</v>
      </c>
      <c r="G10" s="24">
        <f t="shared" si="2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21</v>
      </c>
      <c r="D11" s="26" t="s">
        <v>22</v>
      </c>
      <c r="E11" s="24">
        <f t="shared" si="1"/>
        <v>1</v>
      </c>
      <c r="F11" s="25">
        <v>1.0</v>
      </c>
      <c r="G11" s="24">
        <f t="shared" si="2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1" t="s">
        <v>23</v>
      </c>
      <c r="C12" s="22" t="s">
        <v>21</v>
      </c>
      <c r="D12" s="26" t="s">
        <v>24</v>
      </c>
      <c r="E12" s="24">
        <f t="shared" si="1"/>
        <v>1</v>
      </c>
      <c r="F12" s="25">
        <v>1.0</v>
      </c>
      <c r="G12" s="24">
        <f t="shared" si="2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7"/>
      <c r="C13" s="28" t="s">
        <v>25</v>
      </c>
      <c r="D13" s="6"/>
      <c r="E13" s="6"/>
      <c r="F13" s="7"/>
      <c r="G13" s="29">
        <f>SUM(G8:G12)</f>
        <v>16</v>
      </c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0" t="s">
        <v>26</v>
      </c>
      <c r="D14" s="3"/>
      <c r="E14" s="3"/>
      <c r="F14" s="3"/>
      <c r="G14" s="31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8"/>
      <c r="C15" s="32"/>
      <c r="D15" s="32"/>
      <c r="E15" s="33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8" t="s">
        <v>27</v>
      </c>
      <c r="B16" s="19" t="s">
        <v>28</v>
      </c>
      <c r="C16" s="19" t="s">
        <v>29</v>
      </c>
      <c r="D16" s="20" t="s">
        <v>30</v>
      </c>
      <c r="E16" s="20" t="s">
        <v>31</v>
      </c>
      <c r="F16" s="19" t="s">
        <v>9</v>
      </c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1"/>
      <c r="V16" s="1"/>
      <c r="W16" s="1"/>
      <c r="X16" s="1"/>
      <c r="Y16" s="1"/>
      <c r="Z16" s="1"/>
    </row>
    <row r="17" ht="27.75" customHeight="1">
      <c r="A17" s="1"/>
      <c r="B17" s="35" t="s">
        <v>32</v>
      </c>
      <c r="C17" s="36" t="s">
        <v>33</v>
      </c>
      <c r="D17" s="36">
        <v>3.0</v>
      </c>
      <c r="E17" s="37" t="str">
        <f t="shared" ref="E17:E29" si="3">IF($D17&gt;0,IF($D17&lt;=3,"Simple",IF(AND($D17&gt;3,$D17&lt;7),"Intermedio",IF($D17&gt;=7,"Complejo","error"))),"-")</f>
        <v>Simple</v>
      </c>
      <c r="F17" s="24">
        <f t="shared" ref="F17:F29" si="4">IF($D17&gt;0,IF($D17&lt;=3,5,IF(AND($D17&gt;3,$D17&lt;7),10,IF($D17&gt;=7,15,"error"))),0)</f>
        <v>5</v>
      </c>
      <c r="G17" s="1"/>
      <c r="H17" s="1"/>
      <c r="I17" s="1"/>
      <c r="J17" s="1"/>
      <c r="K17" s="34"/>
      <c r="L17" s="1"/>
      <c r="M17" s="1"/>
      <c r="N17" s="1"/>
      <c r="O17" s="1"/>
      <c r="P17" s="1"/>
      <c r="Q17" s="1"/>
      <c r="R17" s="1"/>
      <c r="S17" s="1"/>
      <c r="T17" s="34"/>
      <c r="U17" s="1"/>
      <c r="V17" s="1"/>
      <c r="W17" s="1"/>
      <c r="X17" s="1"/>
      <c r="Y17" s="1"/>
      <c r="Z17" s="1"/>
    </row>
    <row r="18" ht="27.75" customHeight="1">
      <c r="A18" s="1"/>
      <c r="B18" s="35" t="s">
        <v>34</v>
      </c>
      <c r="C18" s="36" t="s">
        <v>35</v>
      </c>
      <c r="D18" s="36">
        <v>3.0</v>
      </c>
      <c r="E18" s="37" t="str">
        <f t="shared" si="3"/>
        <v>Simple</v>
      </c>
      <c r="F18" s="24">
        <f t="shared" si="4"/>
        <v>5</v>
      </c>
      <c r="G18" s="1"/>
      <c r="H18" s="1"/>
      <c r="I18" s="1"/>
      <c r="J18" s="1"/>
      <c r="K18" s="34"/>
      <c r="L18" s="1"/>
      <c r="M18" s="1"/>
      <c r="N18" s="1"/>
      <c r="O18" s="1"/>
      <c r="P18" s="1"/>
      <c r="Q18" s="1"/>
      <c r="R18" s="1"/>
      <c r="S18" s="1"/>
      <c r="T18" s="34"/>
      <c r="U18" s="1"/>
      <c r="V18" s="1"/>
      <c r="W18" s="1"/>
      <c r="X18" s="1"/>
      <c r="Y18" s="1"/>
      <c r="Z18" s="1"/>
    </row>
    <row r="19" ht="27.75" customHeight="1">
      <c r="A19" s="1"/>
      <c r="B19" s="35" t="s">
        <v>36</v>
      </c>
      <c r="C19" s="36" t="s">
        <v>37</v>
      </c>
      <c r="D19" s="36">
        <v>7.0</v>
      </c>
      <c r="E19" s="37" t="str">
        <f t="shared" si="3"/>
        <v>Complejo</v>
      </c>
      <c r="F19" s="24">
        <f t="shared" si="4"/>
        <v>15</v>
      </c>
      <c r="G19" s="1"/>
      <c r="H19" s="1"/>
      <c r="I19" s="1"/>
      <c r="J19" s="1"/>
      <c r="K19" s="34"/>
      <c r="L19" s="1"/>
      <c r="M19" s="1"/>
      <c r="N19" s="1"/>
      <c r="O19" s="1"/>
      <c r="P19" s="1"/>
      <c r="Q19" s="1"/>
      <c r="R19" s="1"/>
      <c r="S19" s="1"/>
      <c r="T19" s="34"/>
      <c r="U19" s="1"/>
      <c r="V19" s="1"/>
      <c r="W19" s="1"/>
      <c r="X19" s="1"/>
      <c r="Y19" s="1"/>
      <c r="Z19" s="1"/>
    </row>
    <row r="20" ht="27.75" customHeight="1">
      <c r="A20" s="1"/>
      <c r="B20" s="35" t="s">
        <v>38</v>
      </c>
      <c r="C20" s="36" t="s">
        <v>33</v>
      </c>
      <c r="D20" s="36">
        <v>3.0</v>
      </c>
      <c r="E20" s="37" t="str">
        <f t="shared" si="3"/>
        <v>Simple</v>
      </c>
      <c r="F20" s="24">
        <f t="shared" si="4"/>
        <v>5</v>
      </c>
      <c r="G20" s="1"/>
      <c r="H20" s="1"/>
      <c r="I20" s="1"/>
      <c r="J20" s="1"/>
      <c r="K20" s="34"/>
      <c r="L20" s="1"/>
      <c r="M20" s="1"/>
      <c r="N20" s="1"/>
      <c r="O20" s="1"/>
      <c r="P20" s="1"/>
      <c r="Q20" s="1"/>
      <c r="R20" s="1"/>
      <c r="S20" s="1"/>
      <c r="T20" s="34"/>
      <c r="U20" s="1"/>
      <c r="V20" s="1"/>
      <c r="W20" s="1"/>
      <c r="X20" s="1"/>
      <c r="Y20" s="1"/>
      <c r="Z20" s="1"/>
    </row>
    <row r="21" ht="27.75" customHeight="1">
      <c r="A21" s="1"/>
      <c r="B21" s="35" t="s">
        <v>39</v>
      </c>
      <c r="C21" s="36" t="s">
        <v>40</v>
      </c>
      <c r="D21" s="36">
        <v>3.0</v>
      </c>
      <c r="E21" s="37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4"/>
      <c r="L21" s="1"/>
      <c r="M21" s="1"/>
      <c r="N21" s="1"/>
      <c r="O21" s="1"/>
      <c r="P21" s="1"/>
      <c r="Q21" s="1"/>
      <c r="R21" s="1"/>
      <c r="S21" s="1"/>
      <c r="T21" s="34"/>
      <c r="U21" s="1"/>
      <c r="V21" s="1"/>
      <c r="W21" s="1"/>
      <c r="X21" s="1"/>
      <c r="Y21" s="1"/>
      <c r="Z21" s="1"/>
    </row>
    <row r="22" ht="27.75" customHeight="1">
      <c r="A22" s="1"/>
      <c r="B22" s="35" t="s">
        <v>41</v>
      </c>
      <c r="C22" s="36" t="s">
        <v>42</v>
      </c>
      <c r="D22" s="36">
        <v>8.0</v>
      </c>
      <c r="E22" s="37" t="str">
        <f t="shared" si="3"/>
        <v>Complejo</v>
      </c>
      <c r="F22" s="24">
        <f t="shared" si="4"/>
        <v>15</v>
      </c>
      <c r="G22" s="1"/>
      <c r="H22" s="1"/>
      <c r="I22" s="1"/>
      <c r="J22" s="1"/>
      <c r="K22" s="34"/>
      <c r="L22" s="1"/>
      <c r="M22" s="1"/>
      <c r="N22" s="1"/>
      <c r="O22" s="1"/>
      <c r="P22" s="1"/>
      <c r="Q22" s="1"/>
      <c r="R22" s="1"/>
      <c r="S22" s="1"/>
      <c r="T22" s="34"/>
      <c r="U22" s="1"/>
      <c r="V22" s="1"/>
      <c r="W22" s="1"/>
      <c r="X22" s="1"/>
      <c r="Y22" s="1"/>
      <c r="Z22" s="1"/>
    </row>
    <row r="23" ht="27.75" customHeight="1">
      <c r="A23" s="1"/>
      <c r="B23" s="35" t="s">
        <v>43</v>
      </c>
      <c r="C23" s="36" t="s">
        <v>40</v>
      </c>
      <c r="D23" s="36">
        <v>3.0</v>
      </c>
      <c r="E23" s="37" t="str">
        <f t="shared" si="3"/>
        <v>Simple</v>
      </c>
      <c r="F23" s="24">
        <f t="shared" si="4"/>
        <v>5</v>
      </c>
      <c r="G23" s="1"/>
      <c r="H23" s="1"/>
      <c r="I23" s="1"/>
      <c r="J23" s="1"/>
      <c r="K23" s="34"/>
      <c r="L23" s="1"/>
      <c r="M23" s="1"/>
      <c r="N23" s="1"/>
      <c r="O23" s="1"/>
      <c r="P23" s="1"/>
      <c r="Q23" s="1"/>
      <c r="R23" s="1"/>
      <c r="S23" s="1"/>
      <c r="T23" s="34"/>
      <c r="U23" s="1"/>
      <c r="V23" s="1"/>
      <c r="W23" s="1"/>
      <c r="X23" s="1"/>
      <c r="Y23" s="1"/>
      <c r="Z23" s="1"/>
    </row>
    <row r="24" ht="27.75" customHeight="1">
      <c r="A24" s="1"/>
      <c r="B24" s="38" t="s">
        <v>44</v>
      </c>
      <c r="C24" s="36" t="s">
        <v>40</v>
      </c>
      <c r="D24" s="36">
        <v>3.0</v>
      </c>
      <c r="E24" s="37" t="str">
        <f t="shared" si="3"/>
        <v>Simple</v>
      </c>
      <c r="F24" s="24">
        <f t="shared" si="4"/>
        <v>5</v>
      </c>
      <c r="G24" s="1"/>
      <c r="H24" s="1"/>
      <c r="I24" s="1"/>
      <c r="J24" s="1"/>
      <c r="K24" s="34"/>
      <c r="L24" s="1"/>
      <c r="M24" s="1"/>
      <c r="N24" s="1"/>
      <c r="O24" s="1"/>
      <c r="P24" s="1"/>
      <c r="Q24" s="1"/>
      <c r="R24" s="1"/>
      <c r="S24" s="1"/>
      <c r="T24" s="34"/>
      <c r="U24" s="1"/>
      <c r="V24" s="1"/>
      <c r="W24" s="1"/>
      <c r="X24" s="1"/>
      <c r="Y24" s="1"/>
      <c r="Z24" s="1"/>
    </row>
    <row r="25" ht="27.75" customHeight="1">
      <c r="A25" s="1"/>
      <c r="B25" s="35" t="s">
        <v>45</v>
      </c>
      <c r="C25" s="36" t="s">
        <v>40</v>
      </c>
      <c r="D25" s="36">
        <v>3.0</v>
      </c>
      <c r="E25" s="37" t="str">
        <f t="shared" si="3"/>
        <v>Simple</v>
      </c>
      <c r="F25" s="24">
        <f t="shared" si="4"/>
        <v>5</v>
      </c>
      <c r="G25" s="1"/>
      <c r="H25" s="1"/>
      <c r="I25" s="1"/>
      <c r="J25" s="1"/>
      <c r="K25" s="34"/>
      <c r="L25" s="1"/>
      <c r="M25" s="1"/>
      <c r="N25" s="1"/>
      <c r="O25" s="1"/>
      <c r="P25" s="1"/>
      <c r="Q25" s="1"/>
      <c r="R25" s="1"/>
      <c r="S25" s="1"/>
      <c r="T25" s="34"/>
      <c r="U25" s="1"/>
      <c r="V25" s="1"/>
      <c r="W25" s="1"/>
      <c r="X25" s="1"/>
      <c r="Y25" s="1"/>
      <c r="Z25" s="1"/>
    </row>
    <row r="26" ht="27.75" customHeight="1">
      <c r="A26" s="1"/>
      <c r="B26" s="35" t="s">
        <v>46</v>
      </c>
      <c r="C26" s="36" t="s">
        <v>47</v>
      </c>
      <c r="D26" s="36">
        <v>4.0</v>
      </c>
      <c r="E26" s="37" t="str">
        <f t="shared" si="3"/>
        <v>Intermedio</v>
      </c>
      <c r="F26" s="24">
        <f t="shared" si="4"/>
        <v>10</v>
      </c>
      <c r="G26" s="1"/>
      <c r="H26" s="1"/>
      <c r="I26" s="1"/>
      <c r="J26" s="1"/>
      <c r="K26" s="34"/>
      <c r="L26" s="1"/>
      <c r="M26" s="1"/>
      <c r="N26" s="1"/>
      <c r="O26" s="1"/>
      <c r="P26" s="1"/>
      <c r="Q26" s="1"/>
      <c r="R26" s="1"/>
      <c r="S26" s="1"/>
      <c r="T26" s="34"/>
      <c r="U26" s="1"/>
      <c r="V26" s="1"/>
      <c r="W26" s="1"/>
      <c r="X26" s="1"/>
      <c r="Y26" s="1"/>
      <c r="Z26" s="1"/>
    </row>
    <row r="27" ht="27.75" customHeight="1">
      <c r="A27" s="1"/>
      <c r="B27" s="35" t="s">
        <v>48</v>
      </c>
      <c r="C27" s="36" t="s">
        <v>49</v>
      </c>
      <c r="D27" s="36">
        <v>4.0</v>
      </c>
      <c r="E27" s="37" t="str">
        <f t="shared" si="3"/>
        <v>Intermedio</v>
      </c>
      <c r="F27" s="24">
        <f t="shared" si="4"/>
        <v>10</v>
      </c>
      <c r="G27" s="1"/>
      <c r="H27" s="1"/>
      <c r="I27" s="1"/>
      <c r="J27" s="1"/>
      <c r="K27" s="34"/>
      <c r="L27" s="1"/>
      <c r="M27" s="1"/>
      <c r="N27" s="1"/>
      <c r="O27" s="1"/>
      <c r="P27" s="1"/>
      <c r="Q27" s="1"/>
      <c r="R27" s="1"/>
      <c r="S27" s="1"/>
      <c r="T27" s="34"/>
      <c r="U27" s="1"/>
      <c r="V27" s="1"/>
      <c r="W27" s="1"/>
      <c r="X27" s="1"/>
      <c r="Y27" s="1"/>
      <c r="Z27" s="1"/>
    </row>
    <row r="28" ht="27.75" customHeight="1">
      <c r="A28" s="1"/>
      <c r="B28" s="35" t="s">
        <v>50</v>
      </c>
      <c r="C28" s="36" t="s">
        <v>40</v>
      </c>
      <c r="D28" s="39">
        <v>7.0</v>
      </c>
      <c r="E28" s="37" t="str">
        <f t="shared" si="3"/>
        <v>Complejo</v>
      </c>
      <c r="F28" s="24">
        <f t="shared" si="4"/>
        <v>15</v>
      </c>
      <c r="G28" s="1"/>
      <c r="H28" s="1"/>
      <c r="I28" s="1"/>
      <c r="J28" s="1"/>
      <c r="K28" s="34"/>
      <c r="L28" s="1"/>
      <c r="M28" s="1"/>
      <c r="N28" s="1"/>
      <c r="O28" s="1"/>
      <c r="P28" s="1"/>
      <c r="Q28" s="1"/>
      <c r="R28" s="1"/>
      <c r="S28" s="1"/>
      <c r="T28" s="34"/>
      <c r="U28" s="1"/>
      <c r="V28" s="1"/>
      <c r="W28" s="1"/>
      <c r="X28" s="1"/>
      <c r="Y28" s="1"/>
      <c r="Z28" s="1"/>
    </row>
    <row r="29" ht="27.75" customHeight="1">
      <c r="A29" s="1"/>
      <c r="B29" s="35" t="s">
        <v>51</v>
      </c>
      <c r="C29" s="36" t="s">
        <v>40</v>
      </c>
      <c r="D29" s="36">
        <v>3.0</v>
      </c>
      <c r="E29" s="37" t="str">
        <f t="shared" si="3"/>
        <v>Simple</v>
      </c>
      <c r="F29" s="24">
        <f t="shared" si="4"/>
        <v>5</v>
      </c>
      <c r="G29" s="1"/>
      <c r="H29" s="1"/>
      <c r="I29" s="1"/>
      <c r="J29" s="1"/>
      <c r="K29" s="34"/>
      <c r="L29" s="1"/>
      <c r="M29" s="1"/>
      <c r="N29" s="1"/>
      <c r="O29" s="1"/>
      <c r="P29" s="1"/>
      <c r="Q29" s="1"/>
      <c r="R29" s="1"/>
      <c r="S29" s="1"/>
      <c r="T29" s="34"/>
      <c r="U29" s="1"/>
      <c r="V29" s="1"/>
      <c r="W29" s="1"/>
      <c r="X29" s="1"/>
      <c r="Y29" s="1"/>
      <c r="Z29" s="1"/>
    </row>
    <row r="30" ht="27.75" customHeight="1">
      <c r="A30" s="1"/>
      <c r="B30" s="40"/>
      <c r="C30" s="41" t="s">
        <v>52</v>
      </c>
      <c r="D30" s="42"/>
      <c r="E30" s="43"/>
      <c r="F30" s="44">
        <f>SUM(F17:F29)</f>
        <v>105</v>
      </c>
      <c r="G30" s="1"/>
      <c r="H30" s="1"/>
      <c r="I30" s="1"/>
      <c r="J30" s="1"/>
      <c r="K30" s="34"/>
      <c r="L30" s="1"/>
      <c r="M30" s="1"/>
      <c r="N30" s="1"/>
      <c r="O30" s="1"/>
      <c r="P30" s="1"/>
      <c r="Q30" s="1"/>
      <c r="R30" s="1"/>
      <c r="S30" s="1"/>
      <c r="T30" s="34"/>
      <c r="U30" s="1"/>
      <c r="V30" s="1"/>
      <c r="W30" s="1"/>
      <c r="X30" s="1"/>
      <c r="Y30" s="1"/>
      <c r="Z30" s="1"/>
    </row>
    <row r="31" ht="27.75" customHeight="1">
      <c r="A31" s="1"/>
      <c r="G31" s="1"/>
      <c r="H31" s="1"/>
      <c r="I31" s="1"/>
      <c r="J31" s="1"/>
      <c r="K31" s="34"/>
      <c r="L31" s="1"/>
      <c r="M31" s="1"/>
      <c r="N31" s="1"/>
      <c r="O31" s="1"/>
      <c r="P31" s="1"/>
      <c r="Q31" s="1"/>
      <c r="R31" s="1"/>
      <c r="S31" s="1"/>
      <c r="T31" s="34"/>
      <c r="U31" s="1"/>
      <c r="V31" s="1"/>
      <c r="W31" s="1"/>
      <c r="X31" s="1"/>
      <c r="Y31" s="1"/>
      <c r="Z31" s="1"/>
    </row>
    <row r="32" ht="27.75" customHeight="1">
      <c r="A32" s="1"/>
      <c r="G32" s="1"/>
      <c r="H32" s="1"/>
      <c r="I32" s="1"/>
      <c r="J32" s="1"/>
      <c r="K32" s="34"/>
      <c r="L32" s="1"/>
      <c r="M32" s="1"/>
      <c r="N32" s="1"/>
      <c r="O32" s="1"/>
      <c r="P32" s="1"/>
      <c r="Q32" s="1"/>
      <c r="R32" s="1"/>
      <c r="S32" s="1"/>
      <c r="T32" s="34"/>
      <c r="U32" s="1"/>
      <c r="V32" s="1"/>
      <c r="W32" s="1"/>
      <c r="X32" s="1"/>
      <c r="Y32" s="1"/>
      <c r="Z32" s="1"/>
    </row>
    <row r="33" ht="27.75" customHeight="1">
      <c r="A33" s="1"/>
      <c r="G33" s="1"/>
      <c r="H33" s="1"/>
      <c r="I33" s="1"/>
      <c r="J33" s="1"/>
      <c r="K33" s="34"/>
      <c r="L33" s="1"/>
      <c r="M33" s="1"/>
      <c r="N33" s="1"/>
      <c r="O33" s="1"/>
      <c r="P33" s="1"/>
      <c r="Q33" s="1"/>
      <c r="R33" s="1"/>
      <c r="S33" s="1"/>
      <c r="T33" s="34"/>
      <c r="U33" s="1"/>
      <c r="V33" s="1"/>
      <c r="W33" s="1"/>
      <c r="X33" s="1"/>
      <c r="Y33" s="1"/>
      <c r="Z33" s="1"/>
    </row>
    <row r="34" ht="27.75" customHeight="1">
      <c r="A34" s="18" t="s">
        <v>53</v>
      </c>
      <c r="B34" s="45"/>
      <c r="C34" s="28" t="s">
        <v>133</v>
      </c>
      <c r="D34" s="6"/>
      <c r="E34" s="7"/>
      <c r="F34" s="29">
        <f>G13+F30</f>
        <v>121</v>
      </c>
      <c r="G34" s="1"/>
      <c r="H34" s="18"/>
      <c r="I34" s="1"/>
      <c r="J34" s="1"/>
      <c r="K34" s="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G37" s="1"/>
      <c r="H37" s="1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3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8" t="s">
        <v>55</v>
      </c>
      <c r="B40" s="20" t="s">
        <v>56</v>
      </c>
      <c r="C40" s="20" t="s">
        <v>57</v>
      </c>
      <c r="D40" s="19" t="s">
        <v>58</v>
      </c>
      <c r="E40" s="19" t="s">
        <v>9</v>
      </c>
      <c r="F40" s="19" t="s">
        <v>59</v>
      </c>
      <c r="G40" s="19" t="s">
        <v>60</v>
      </c>
      <c r="H40" s="1" t="s">
        <v>61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75" customHeight="1">
      <c r="A41" s="1"/>
      <c r="B41" s="46" t="s">
        <v>62</v>
      </c>
      <c r="C41" s="46" t="s">
        <v>63</v>
      </c>
      <c r="D41" s="47" t="s">
        <v>64</v>
      </c>
      <c r="E41" s="48" t="s">
        <v>65</v>
      </c>
      <c r="F41" s="25">
        <v>0.0</v>
      </c>
      <c r="G41" s="49">
        <f t="shared" ref="G41:G53" si="5">E41*F41</f>
        <v>0</v>
      </c>
      <c r="H41" s="50" t="s">
        <v>66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6" t="s">
        <v>67</v>
      </c>
      <c r="C42" s="46" t="s">
        <v>63</v>
      </c>
      <c r="D42" s="47" t="s">
        <v>64</v>
      </c>
      <c r="E42" s="49">
        <v>2.0</v>
      </c>
      <c r="F42" s="25">
        <v>3.0</v>
      </c>
      <c r="G42" s="49">
        <f t="shared" si="5"/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6" t="s">
        <v>68</v>
      </c>
      <c r="C43" s="46" t="s">
        <v>63</v>
      </c>
      <c r="D43" s="47" t="s">
        <v>64</v>
      </c>
      <c r="E43" s="49">
        <v>1.0</v>
      </c>
      <c r="F43" s="25">
        <v>5.0</v>
      </c>
      <c r="G43" s="49">
        <f t="shared" si="5"/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6" t="s">
        <v>69</v>
      </c>
      <c r="C44" s="46" t="s">
        <v>63</v>
      </c>
      <c r="D44" s="47" t="s">
        <v>64</v>
      </c>
      <c r="E44" s="49">
        <v>1.0</v>
      </c>
      <c r="F44" s="25">
        <v>4.0</v>
      </c>
      <c r="G44" s="49">
        <f t="shared" si="5"/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6" t="s">
        <v>70</v>
      </c>
      <c r="C45" s="46" t="s">
        <v>63</v>
      </c>
      <c r="D45" s="47" t="s">
        <v>64</v>
      </c>
      <c r="E45" s="48">
        <v>1.0</v>
      </c>
      <c r="F45" s="25">
        <v>2.0</v>
      </c>
      <c r="G45" s="49">
        <f t="shared" si="5"/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6" t="s">
        <v>71</v>
      </c>
      <c r="C46" s="46" t="s">
        <v>63</v>
      </c>
      <c r="D46" s="47" t="s">
        <v>64</v>
      </c>
      <c r="E46" s="48">
        <v>0.5</v>
      </c>
      <c r="F46" s="25">
        <v>2.0</v>
      </c>
      <c r="G46" s="49">
        <f t="shared" si="5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6" t="s">
        <v>72</v>
      </c>
      <c r="C47" s="46" t="s">
        <v>63</v>
      </c>
      <c r="D47" s="47" t="s">
        <v>64</v>
      </c>
      <c r="E47" s="48">
        <v>0.5</v>
      </c>
      <c r="F47" s="25">
        <v>3.0</v>
      </c>
      <c r="G47" s="49">
        <f t="shared" si="5"/>
        <v>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46" t="s">
        <v>73</v>
      </c>
      <c r="C48" s="46" t="s">
        <v>63</v>
      </c>
      <c r="D48" s="47" t="s">
        <v>64</v>
      </c>
      <c r="E48" s="48">
        <v>2.0</v>
      </c>
      <c r="F48" s="25">
        <v>1.0</v>
      </c>
      <c r="G48" s="49">
        <f t="shared" si="5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46" t="s">
        <v>74</v>
      </c>
      <c r="C49" s="46" t="s">
        <v>63</v>
      </c>
      <c r="D49" s="47" t="s">
        <v>64</v>
      </c>
      <c r="E49" s="48">
        <v>1.0</v>
      </c>
      <c r="F49" s="25">
        <v>2.0</v>
      </c>
      <c r="G49" s="49">
        <f t="shared" si="5"/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46" t="s">
        <v>75</v>
      </c>
      <c r="C50" s="46" t="s">
        <v>63</v>
      </c>
      <c r="D50" s="47" t="s">
        <v>64</v>
      </c>
      <c r="E50" s="48">
        <v>1.0</v>
      </c>
      <c r="F50" s="25">
        <v>4.0</v>
      </c>
      <c r="G50" s="49">
        <f t="shared" si="5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6" t="s">
        <v>76</v>
      </c>
      <c r="C51" s="46" t="s">
        <v>63</v>
      </c>
      <c r="D51" s="47" t="s">
        <v>64</v>
      </c>
      <c r="E51" s="49">
        <v>1.0</v>
      </c>
      <c r="F51" s="25">
        <v>3.0</v>
      </c>
      <c r="G51" s="49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6" t="s">
        <v>77</v>
      </c>
      <c r="C52" s="46" t="s">
        <v>63</v>
      </c>
      <c r="D52" s="47" t="s">
        <v>64</v>
      </c>
      <c r="E52" s="49">
        <v>1.0</v>
      </c>
      <c r="F52" s="25">
        <v>2.0</v>
      </c>
      <c r="G52" s="49">
        <f t="shared" si="5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6" t="s">
        <v>78</v>
      </c>
      <c r="C53" s="46" t="s">
        <v>63</v>
      </c>
      <c r="D53" s="47" t="s">
        <v>64</v>
      </c>
      <c r="E53" s="48">
        <v>1.0</v>
      </c>
      <c r="F53" s="25">
        <v>2.0</v>
      </c>
      <c r="G53" s="49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8" t="s">
        <v>134</v>
      </c>
      <c r="C54" s="6"/>
      <c r="D54" s="6"/>
      <c r="E54" s="6"/>
      <c r="F54" s="7"/>
      <c r="G54" s="51">
        <f>SUM(G41:G53)</f>
        <v>34.5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8" t="s">
        <v>135</v>
      </c>
      <c r="C55" s="6"/>
      <c r="D55" s="6"/>
      <c r="E55" s="6"/>
      <c r="F55" s="7"/>
      <c r="G55" s="44">
        <f>0.6+(0.01*G54)</f>
        <v>0.945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0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2"/>
      <c r="C57" s="52"/>
      <c r="D57" s="53"/>
      <c r="E57" s="52"/>
      <c r="F57" s="52"/>
      <c r="G57" s="5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 t="s">
        <v>81</v>
      </c>
      <c r="B58" s="20" t="s">
        <v>82</v>
      </c>
      <c r="C58" s="20" t="s">
        <v>83</v>
      </c>
      <c r="D58" s="19" t="s">
        <v>84</v>
      </c>
      <c r="E58" s="19" t="s">
        <v>9</v>
      </c>
      <c r="F58" s="19" t="s">
        <v>59</v>
      </c>
      <c r="G58" s="19" t="s">
        <v>60</v>
      </c>
      <c r="H58" s="1" t="s">
        <v>85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"/>
      <c r="B59" s="54" t="s">
        <v>86</v>
      </c>
      <c r="C59" s="46" t="s">
        <v>87</v>
      </c>
      <c r="D59" s="47" t="s">
        <v>64</v>
      </c>
      <c r="E59" s="48">
        <v>1.5</v>
      </c>
      <c r="F59" s="25">
        <v>3.0</v>
      </c>
      <c r="G59" s="49">
        <f t="shared" ref="G59:G66" si="6">E59*F59</f>
        <v>4.5</v>
      </c>
      <c r="H59" s="50" t="s">
        <v>66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4" t="s">
        <v>88</v>
      </c>
      <c r="C60" s="46" t="s">
        <v>87</v>
      </c>
      <c r="D60" s="47" t="s">
        <v>64</v>
      </c>
      <c r="E60" s="48">
        <v>0.5</v>
      </c>
      <c r="F60" s="25">
        <v>2.0</v>
      </c>
      <c r="G60" s="49">
        <f t="shared" si="6"/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4" t="s">
        <v>89</v>
      </c>
      <c r="C61" s="46" t="s">
        <v>87</v>
      </c>
      <c r="D61" s="47" t="s">
        <v>64</v>
      </c>
      <c r="E61" s="48">
        <v>1.0</v>
      </c>
      <c r="F61" s="25">
        <v>4.0</v>
      </c>
      <c r="G61" s="49">
        <f t="shared" si="6"/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4" t="s">
        <v>90</v>
      </c>
      <c r="C62" s="46" t="s">
        <v>87</v>
      </c>
      <c r="D62" s="47" t="s">
        <v>64</v>
      </c>
      <c r="E62" s="48">
        <v>0.5</v>
      </c>
      <c r="F62" s="25">
        <v>3.0</v>
      </c>
      <c r="G62" s="49">
        <f t="shared" si="6"/>
        <v>1.5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4" t="s">
        <v>91</v>
      </c>
      <c r="C63" s="46" t="s">
        <v>92</v>
      </c>
      <c r="D63" s="47" t="s">
        <v>64</v>
      </c>
      <c r="E63" s="48">
        <v>1.0</v>
      </c>
      <c r="F63" s="80">
        <v>4.0</v>
      </c>
      <c r="G63" s="49">
        <f t="shared" si="6"/>
        <v>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4" t="s">
        <v>93</v>
      </c>
      <c r="C64" s="46" t="s">
        <v>94</v>
      </c>
      <c r="D64" s="47" t="s">
        <v>64</v>
      </c>
      <c r="E64" s="48">
        <v>2.0</v>
      </c>
      <c r="F64" s="25">
        <v>4.0</v>
      </c>
      <c r="G64" s="49">
        <f t="shared" si="6"/>
        <v>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4" t="s">
        <v>95</v>
      </c>
      <c r="C65" s="46" t="s">
        <v>96</v>
      </c>
      <c r="D65" s="47" t="s">
        <v>64</v>
      </c>
      <c r="E65" s="48">
        <v>-1.0</v>
      </c>
      <c r="F65" s="80">
        <v>2.0</v>
      </c>
      <c r="G65" s="49">
        <f t="shared" si="6"/>
        <v>-2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4" t="s">
        <v>97</v>
      </c>
      <c r="C66" s="46" t="s">
        <v>98</v>
      </c>
      <c r="D66" s="47" t="s">
        <v>64</v>
      </c>
      <c r="E66" s="48">
        <v>-1.0</v>
      </c>
      <c r="F66" s="80">
        <v>2.0</v>
      </c>
      <c r="G66" s="49">
        <f t="shared" si="6"/>
        <v>-2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28" t="s">
        <v>99</v>
      </c>
      <c r="C67" s="6"/>
      <c r="D67" s="6"/>
      <c r="E67" s="6"/>
      <c r="F67" s="7"/>
      <c r="G67" s="19">
        <f>SUM(G59:G66)</f>
        <v>19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28" t="s">
        <v>136</v>
      </c>
      <c r="C68" s="6"/>
      <c r="D68" s="6"/>
      <c r="E68" s="6"/>
      <c r="F68" s="7"/>
      <c r="G68" s="19">
        <f>1.4 + (-0.03*G67)</f>
        <v>0.83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28"/>
      <c r="C69" s="55"/>
      <c r="D69" s="56"/>
      <c r="E69" s="55"/>
      <c r="F69" s="57" t="s">
        <v>101</v>
      </c>
      <c r="G69" s="19">
        <f>COUNTIF($F$59:$F$64,"&lt;3")+COUNTIF($F$65:$F$66,"&gt;3")</f>
        <v>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30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8" t="s">
        <v>102</v>
      </c>
      <c r="B72" s="58" t="s">
        <v>137</v>
      </c>
      <c r="C72" s="6"/>
      <c r="D72" s="6"/>
      <c r="E72" s="6"/>
      <c r="F72" s="7"/>
      <c r="G72" s="59">
        <f>F34*G55*G68</f>
        <v>94.90635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0" t="s">
        <v>104</v>
      </c>
      <c r="B75" s="20" t="s">
        <v>105</v>
      </c>
      <c r="C75" s="20" t="s">
        <v>106</v>
      </c>
      <c r="D75" s="20" t="s">
        <v>107</v>
      </c>
      <c r="E75" s="3"/>
      <c r="F75" s="1"/>
      <c r="G75" s="20" t="s">
        <v>108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61">
        <v>20.0</v>
      </c>
      <c r="C76" s="61">
        <f>IF($G$69&gt;=5,36,IF(AND(G$69&gt;2,$G$69&lt;=4),28, IF(AND($G$69&gt;=0,$G$69&lt;=2),20,"error")))</f>
        <v>20</v>
      </c>
      <c r="D76" s="62">
        <f>IF($G$69&gt;=5,$G$76*(36/20),IF(AND($G$69&gt;2,$G$69&lt;=4),$G$76*(28/20), IF(AND($G$69&gt;=0,$G$69&lt;=2),$G$76,"error")))</f>
        <v>4</v>
      </c>
      <c r="E76" s="3"/>
      <c r="F76" s="1"/>
      <c r="G76" s="63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64" t="s">
        <v>109</v>
      </c>
      <c r="C77" s="6"/>
      <c r="D77" s="7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5" t="s">
        <v>110</v>
      </c>
      <c r="B78" s="61">
        <f t="shared" ref="B78:D78" si="7">$G$72*B76</f>
        <v>1898.127</v>
      </c>
      <c r="C78" s="61">
        <f t="shared" si="7"/>
        <v>1898.127</v>
      </c>
      <c r="D78" s="61">
        <f t="shared" si="7"/>
        <v>379.6254</v>
      </c>
      <c r="E78" s="3"/>
      <c r="F78" s="1"/>
      <c r="G78" s="66" t="s">
        <v>111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65" t="s">
        <v>112</v>
      </c>
      <c r="B79" s="67">
        <f t="shared" ref="B79:C79" si="8">B78/(22*8)</f>
        <v>10.7848125</v>
      </c>
      <c r="C79" s="67">
        <f t="shared" si="8"/>
        <v>10.7848125</v>
      </c>
      <c r="D79" s="68">
        <f>D78/(22*G79)</f>
        <v>4.313925</v>
      </c>
      <c r="E79" s="3"/>
      <c r="F79" s="1"/>
      <c r="G79" s="63">
        <v>4.0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8" t="s">
        <v>113</v>
      </c>
      <c r="B82" s="69" t="s">
        <v>114</v>
      </c>
      <c r="C82" s="70"/>
      <c r="D82" s="56"/>
      <c r="E82" s="55"/>
      <c r="F82" s="71"/>
      <c r="G82" s="7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5" t="s">
        <v>115</v>
      </c>
      <c r="C83" s="19" t="s">
        <v>116</v>
      </c>
      <c r="D83" s="59" t="s">
        <v>117</v>
      </c>
      <c r="E83" s="59" t="s">
        <v>118</v>
      </c>
      <c r="F83" s="59" t="s">
        <v>119</v>
      </c>
      <c r="G83" s="72" t="s">
        <v>120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3" t="s">
        <v>121</v>
      </c>
      <c r="C84" s="74">
        <v>0.4</v>
      </c>
      <c r="D84" s="67">
        <f t="shared" ref="D84:F84" si="9">$C84/$C$84*B$79</f>
        <v>10.7848125</v>
      </c>
      <c r="E84" s="67">
        <f t="shared" si="9"/>
        <v>10.7848125</v>
      </c>
      <c r="F84" s="67">
        <f t="shared" si="9"/>
        <v>4.313925</v>
      </c>
      <c r="G84" s="67">
        <f>D78</f>
        <v>379.6254</v>
      </c>
      <c r="H84" s="1"/>
      <c r="I84" s="1"/>
      <c r="J84" s="2" t="str">
        <f>G78</f>
        <v>Dedicación Diaria (hs)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3" t="s">
        <v>122</v>
      </c>
      <c r="C85" s="74">
        <f>1-C84</f>
        <v>0.6</v>
      </c>
      <c r="D85" s="61">
        <f t="shared" ref="D85:F85" si="10">$C85/$C$84*B$79</f>
        <v>16.17721875</v>
      </c>
      <c r="E85" s="61">
        <f t="shared" si="10"/>
        <v>16.17721875</v>
      </c>
      <c r="F85" s="61">
        <f t="shared" si="10"/>
        <v>6.4708875</v>
      </c>
      <c r="G85" s="61">
        <f>D78*1.5</f>
        <v>569.4381</v>
      </c>
      <c r="H85" s="1"/>
      <c r="I85" s="1"/>
      <c r="J85" s="1" t="str">
        <f>J84*1.5</f>
        <v>#VALUE!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5"/>
      <c r="C86" s="74">
        <f>SUM(C84:C85)</f>
        <v>1</v>
      </c>
      <c r="D86" s="67">
        <f t="shared" ref="D86:F86" si="11">$C86/$C$84*B$79</f>
        <v>26.96203125</v>
      </c>
      <c r="E86" s="67">
        <f t="shared" si="11"/>
        <v>26.96203125</v>
      </c>
      <c r="F86" s="67">
        <f t="shared" si="11"/>
        <v>10.7848125</v>
      </c>
      <c r="G86" s="67">
        <f>G84+G85</f>
        <v>949.0635</v>
      </c>
      <c r="H86" s="76"/>
      <c r="I86" s="1"/>
      <c r="J86" s="18" t="str">
        <f>J84+J85</f>
        <v>#VALUE!</v>
      </c>
      <c r="K86" s="76" t="s">
        <v>138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8" t="s">
        <v>123</v>
      </c>
      <c r="B88" s="25">
        <v>4.0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8" t="s">
        <v>124</v>
      </c>
      <c r="B90" s="59" t="s">
        <v>125</v>
      </c>
      <c r="C90" s="59" t="s">
        <v>126</v>
      </c>
      <c r="D90" s="59" t="s">
        <v>127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7"/>
      <c r="B91" s="78">
        <f>$D$86/$B$88</f>
        <v>6.740507813</v>
      </c>
      <c r="C91" s="78">
        <f>$E$86/$B$88</f>
        <v>6.740507813</v>
      </c>
      <c r="D91" s="78">
        <f>$F$86/$B$88</f>
        <v>2.696203125</v>
      </c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9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9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9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9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9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9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9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9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9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9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9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9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9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9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9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9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8:F68"/>
    <mergeCell ref="B72:F72"/>
    <mergeCell ref="B77:D77"/>
    <mergeCell ref="B2:G2"/>
    <mergeCell ref="C13:F13"/>
    <mergeCell ref="C30:E30"/>
    <mergeCell ref="C34:E34"/>
    <mergeCell ref="B54:F54"/>
    <mergeCell ref="B55:F55"/>
    <mergeCell ref="B67:F67"/>
  </mergeCells>
  <dataValidations>
    <dataValidation type="list" allowBlank="1" showErrorMessage="1" sqref="C8:C12">
      <formula1>"Simple,Intermedio,Complejo"</formula1>
    </dataValidation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1" location="v=onepage&amp;q=e7%20part-time%20members&amp;f=false" ref="H41"/>
    <hyperlink r:id="rId2" location="v=onepage&amp;q=e7%20part-time%20members&amp;f=false" ref="H59"/>
  </hyperlinks>
  <printOptions/>
  <pageMargins bottom="1.0" footer="0.0" header="0.0" left="0.75" right="0.75" top="1.0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</cp:coreProperties>
</file>